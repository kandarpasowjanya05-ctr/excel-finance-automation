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080"/>
  </bookViews>
  <sheets>
    <sheet name="PL" sheetId="1" r:id="rId1"/>
    <sheet name="BS" sheetId="2" r:id="rId2"/>
    <sheet name="CF" sheetId="3" r:id="rId3"/>
    <sheet name="Assumptions" sheetId="4" r:id="rId4"/>
    <sheet name="Forecast" sheetId="5" r:id="rId5"/>
    <sheet name="DCF" sheetId="6" r:id="rId6"/>
    <sheet name="Checks" sheetId="7" r:id="rId7"/>
    <sheet name="Practice_Log" sheetId="8" r:id="rId8"/>
    <sheet name="README" sheetId="9" r:id="rId9"/>
    <sheet name="Accounts" sheetId="10" r:id="rId10"/>
    <sheet name="Ledger" sheetId="11" r:id="rId11"/>
  </sheets>
  <calcPr calcId="144525"/>
</workbook>
</file>

<file path=xl/sharedStrings.xml><?xml version="1.0" encoding="utf-8"?>
<sst xmlns="http://schemas.openxmlformats.org/spreadsheetml/2006/main" count="321" uniqueCount="240">
  <si>
    <t>Monthly Profit &amp; Loss</t>
  </si>
  <si>
    <t>Amounts in currency units. First month (B4) is an input; later months step forward.</t>
  </si>
  <si>
    <t>Line</t>
  </si>
  <si>
    <t>Total</t>
  </si>
  <si>
    <t>Revenue</t>
  </si>
  <si>
    <t>Cost of goods sold</t>
  </si>
  <si>
    <t>Gross profit</t>
  </si>
  <si>
    <t>Operating expenses</t>
  </si>
  <si>
    <t>Net profit</t>
  </si>
  <si>
    <t>Unmapped amount excluded from the P&amp;L above (debit+credit lines):</t>
  </si>
  <si>
    <t>Balance sheet (month-end)</t>
  </si>
  <si>
    <t>Balance sheet</t>
  </si>
  <si>
    <t>Assets</t>
  </si>
  <si>
    <t>Cash (account 1000)</t>
  </si>
  <si>
    <t>Accounts receivable (account 1100)</t>
  </si>
  <si>
    <t>Total assets</t>
  </si>
  <si>
    <t>Liabilities</t>
  </si>
  <si>
    <t>Accounts payable (account 2000)</t>
  </si>
  <si>
    <t>Bank loan (account 2500)</t>
  </si>
  <si>
    <t>Total liabilities</t>
  </si>
  <si>
    <t>Equity</t>
  </si>
  <si>
    <t>Retained earnings (cumulative net profit)</t>
  </si>
  <si>
    <t>Total equity</t>
  </si>
  <si>
    <t>Total liabilities + equity</t>
  </si>
  <si>
    <t>Difference (assets - liabilities - equity)</t>
  </si>
  <si>
    <t>Assumptions: no opening balances; no share capital or fixed assets in the sample data.</t>
  </si>
  <si>
    <t>Receivables rise when you invoice before being paid; payables rise when you receive a bill before paying it.</t>
  </si>
  <si>
    <t>Retained earnings = cumulative P&amp;L net profit. An unmapped account breaks the balance, shown in the Difference row.</t>
  </si>
  <si>
    <t>Cash flow statement (indirect method)</t>
  </si>
  <si>
    <t>Cash flow</t>
  </si>
  <si>
    <t>Operating activities</t>
  </si>
  <si>
    <t>(Increase)/decrease in receivables</t>
  </si>
  <si>
    <t>Increase/(decrease) in payables</t>
  </si>
  <si>
    <t>Cash from operations</t>
  </si>
  <si>
    <t>Financing activities</t>
  </si>
  <si>
    <t>Loan proceeds / (repayments)</t>
  </si>
  <si>
    <t>Cash from financing</t>
  </si>
  <si>
    <t>Net change in cash</t>
  </si>
  <si>
    <t>Opening cash</t>
  </si>
  <si>
    <t>Closing cash</t>
  </si>
  <si>
    <t>Cash per balance sheet</t>
  </si>
  <si>
    <t>Difference (closing cash - balance sheet cash)</t>
  </si>
  <si>
    <t>Profit is not cash: an unpaid invoice adds to profit but not cash, so receivables increase is subtracted. An unpaid bill reduces profit but not cash, so payables increase is added back.</t>
  </si>
  <si>
    <t>Opening cash for the first month (B16) is an input: 0 because the sample company starts at zero. Investing activities omitted (no fixed assets).</t>
  </si>
  <si>
    <t>Forecast assumptions</t>
  </si>
  <si>
    <t>Blue/yellow cells are inputs. These are practice assumptions, not predictions for a real business.</t>
  </si>
  <si>
    <t>Assumption</t>
  </si>
  <si>
    <t>Value</t>
  </si>
  <si>
    <t>Historical reference (Jan-Apr actuals)</t>
  </si>
  <si>
    <t>Basis / how it is used</t>
  </si>
  <si>
    <t>Monthly revenue growth</t>
  </si>
  <si>
    <t>Revenue(t) = Revenue(t-1) x (1 + growth). Jan-Apr revenue was lumpy, so 3% is a judgement.</t>
  </si>
  <si>
    <t>COGS % of revenue</t>
  </si>
  <si>
    <t>COGS = revenue x this %. Reference is total COGS / total revenue Jan-Apr.</t>
  </si>
  <si>
    <t>Monthly operating expense growth</t>
  </si>
  <si>
    <t>Opex(t) = Opex(t-1) x (1 + growth). April opex (4,100) is the base.</t>
  </si>
  <si>
    <t>Receivable days (DSO)</t>
  </si>
  <si>
    <t>Receivables = revenue x days / 30. Reference is April receivables vs April revenue.</t>
  </si>
  <si>
    <t>Payable days (DPO)</t>
  </si>
  <si>
    <t>Payables = operating expenses x days / 30. Reference is April.</t>
  </si>
  <si>
    <t>Loan repayment per month</t>
  </si>
  <si>
    <t>Cash outflow reducing the bank loan, never below zero.</t>
  </si>
  <si>
    <t>Loan interest rate (annual)</t>
  </si>
  <si>
    <t>Interest = prior month-end loan x rate / 12. Actuals recorded no interest.</t>
  </si>
  <si>
    <t>Tax rate on profit before tax</t>
  </si>
  <si>
    <t>Tax = max(0, profit before tax) x rate, paid in the same month. Actuals recorded no tax.</t>
  </si>
  <si>
    <t>DCF assumption</t>
  </si>
  <si>
    <t>Historical reference</t>
  </si>
  <si>
    <t>WACC (discount rate)</t>
  </si>
  <si>
    <t>Judgement for a small private business; you must justify it (risk, financing mix, size). Higher = lower value.</t>
  </si>
  <si>
    <t>Terminal growth rate</t>
  </si>
  <si>
    <t>Long-run growth after Year 5. Should not exceed long-run economic growth; must be below WACC.</t>
  </si>
  <si>
    <t>Revenue growth, Year 2</t>
  </si>
  <si>
    <t>Year 1 comes from the monthly forecast. Years 2-5 fade toward a mature rate. Judgement.</t>
  </si>
  <si>
    <t>Revenue growth, Year 3</t>
  </si>
  <si>
    <t>Judgement.</t>
  </si>
  <si>
    <t>Revenue growth, Year 4</t>
  </si>
  <si>
    <t>Revenue growth, Year 5</t>
  </si>
  <si>
    <t>EBIT margin change per year (points)</t>
  </si>
  <si>
    <t>0 = Year 1 margin held flat in Years 2-5.</t>
  </si>
  <si>
    <t>Three-statement forecast (May 2026 - Apr 2027)</t>
  </si>
  <si>
    <t>April 2026 is the last actual month. All forecast months are driven by the Assumptions sheet.</t>
  </si>
  <si>
    <t>Actual</t>
  </si>
  <si>
    <t>Forecast</t>
  </si>
  <si>
    <t>Income statement</t>
  </si>
  <si>
    <t>Operating profit</t>
  </si>
  <si>
    <t>Interest expense</t>
  </si>
  <si>
    <t>Profit before tax</t>
  </si>
  <si>
    <t>Tax</t>
  </si>
  <si>
    <t>Cash</t>
  </si>
  <si>
    <t>Accounts receivable</t>
  </si>
  <si>
    <t>Accounts payable</t>
  </si>
  <si>
    <t>Bank loan</t>
  </si>
  <si>
    <t>Retained earnings</t>
  </si>
  <si>
    <t>Gross margin %</t>
  </si>
  <si>
    <t>Net margin %</t>
  </si>
  <si>
    <t>Actual column: interest and tax are 0 because none were recorded in the ledger. Cash in each forecast month comes from the cash flow statement, so the balance check tests the logic.</t>
  </si>
  <si>
    <t>Discounted cash flow valuation</t>
  </si>
  <si>
    <t>Valuation date: 30 Apr 2026 (last actual month). Year 1 = May 2026 - Apr 2027 from the Forecast sheet. Year-end discounting. Practice model: based on 4 months of data.</t>
  </si>
  <si>
    <t>Unlevered free cash flow</t>
  </si>
  <si>
    <t>Year 1</t>
  </si>
  <si>
    <t>Year 2</t>
  </si>
  <si>
    <t>Year 3</t>
  </si>
  <si>
    <t>Year 4</t>
  </si>
  <si>
    <t>Year 5</t>
  </si>
  <si>
    <t>Revenue growth</t>
  </si>
  <si>
    <t>n/a</t>
  </si>
  <si>
    <t>EBIT (operating profit)</t>
  </si>
  <si>
    <t>EBIT margin</t>
  </si>
  <si>
    <t>Tax on EBIT</t>
  </si>
  <si>
    <t>NOPAT (EBIT after tax)</t>
  </si>
  <si>
    <t>Change in working capital (cash effect)</t>
  </si>
  <si>
    <t>Discount period (years)</t>
  </si>
  <si>
    <t>Discount factor</t>
  </si>
  <si>
    <t>Present value of free cash flow</t>
  </si>
  <si>
    <t>Valuation</t>
  </si>
  <si>
    <t>Sum of PV of free cash flows (Years 1-5)</t>
  </si>
  <si>
    <t>Terminal-year free cash flow (Year 5)</t>
  </si>
  <si>
    <t>Terminal value at end of Year 5</t>
  </si>
  <si>
    <t>PV of terminal value</t>
  </si>
  <si>
    <t>Enterprise value</t>
  </si>
  <si>
    <t>Less: bank loan (Apr 2026)</t>
  </si>
  <si>
    <t>Plus: cash (Apr 2026)</t>
  </si>
  <si>
    <t>Equity value</t>
  </si>
  <si>
    <t>Terminal value as % of enterprise value</t>
  </si>
  <si>
    <t>Implied EV / Year 1 revenue</t>
  </si>
  <si>
    <t>Implied EV / Year 1 EBIT</t>
  </si>
  <si>
    <t>NWC % of Year 1 revenue (used for Years 2-5)</t>
  </si>
  <si>
    <t>Equity value sensitivity: WACC (down) vs terminal growth (across)</t>
  </si>
  <si>
    <t>WACC \ growth</t>
  </si>
  <si>
    <t>Free cash flow = EBIT x (1 - tax) minus the investment in working capital. Interest is excluded (unlevered); debt is deducted in the bridge to equity value.</t>
  </si>
  <si>
    <t>No depreciation or capex: the sample company has no fixed assets. A real model needs both.</t>
  </si>
  <si>
    <t>Year 1 uses the Forecast sheet (EBIT and working-capital cash effects). The tax here is on EBIT, so it differs slightly from forecast tax, which is on profit after interest.</t>
  </si>
  <si>
    <t>All cash is treated as excess cash and added to equity value. The terminal value assumes cash flows grow at the terminal rate forever.</t>
  </si>
  <si>
    <t>Control checks</t>
  </si>
  <si>
    <t>Check</t>
  </si>
  <si>
    <t>Result</t>
  </si>
  <si>
    <t>Expected</t>
  </si>
  <si>
    <t>Pass?</t>
  </si>
  <si>
    <t>Note</t>
  </si>
  <si>
    <t>Debits minus credits</t>
  </si>
  <si>
    <t>Double-entry must balance.</t>
  </si>
  <si>
    <t>Unmapped ledger lines</t>
  </si>
  <si>
    <t>Add the account code to Accounts.</t>
  </si>
  <si>
    <t>First unmapped account code</t>
  </si>
  <si>
    <t>none</t>
  </si>
  <si>
    <t>Informational.</t>
  </si>
  <si>
    <t>P&amp;L net profit minus whole-ledger profit</t>
  </si>
  <si>
    <t>Non-zero means transactions fall outside the 4 months shown in PL.</t>
  </si>
  <si>
    <t>Net debt-account movement (acct 2500)</t>
  </si>
  <si>
    <t>Loan raises debt by 10,000 (sample data).</t>
  </si>
  <si>
    <t>Feb 2026 net profit (loan test)</t>
  </si>
  <si>
    <t>Must be 2,700, not 12,700. Sample-data test.</t>
  </si>
  <si>
    <t>Balance sheet balances (all months)</t>
  </si>
  <si>
    <t>Assets = liabilities + equity in every month.</t>
  </si>
  <si>
    <t>Cash flow closing cash = balance sheet cash</t>
  </si>
  <si>
    <t>Cash flow statement must tie to the balance sheet.</t>
  </si>
  <si>
    <t>Other balance sheet accounts (not 1000/1100/2000/2500)</t>
  </si>
  <si>
    <t>BS and CF only show these four; extend them if above 0.</t>
  </si>
  <si>
    <t>Mar 2026 receivables (sample test)</t>
  </si>
  <si>
    <t>Unpaid 5,000 invoice. Sample-data test.</t>
  </si>
  <si>
    <t>Forecast balance sheet balances</t>
  </si>
  <si>
    <t>Forecast assets = liabilities + equity every month.</t>
  </si>
  <si>
    <t>Forecast base month net profit - actual April</t>
  </si>
  <si>
    <t>Forecast starts from the actual April result.</t>
  </si>
  <si>
    <t>Forecast months with negative cash</t>
  </si>
  <si>
    <t>A negative month means the assumptions need a funding plan.</t>
  </si>
  <si>
    <t>DCF: WACC above terminal growth</t>
  </si>
  <si>
    <t>The terminal value formula needs WACC &gt; g.</t>
  </si>
  <si>
    <t>DCF: sensitivity centre = equity value</t>
  </si>
  <si>
    <t>The grid recomputes the valuation independently.</t>
  </si>
  <si>
    <t>DCF: terminal value over 85% of EV (flag)</t>
  </si>
  <si>
    <t>A high share means the value rests on the far future.</t>
  </si>
  <si>
    <t>OVERALL STATUS</t>
  </si>
  <si>
    <t>Blue Expected values are inputs for the sample data; replace them if you use your own.</t>
  </si>
  <si>
    <t>Practice log - results from actually running each step</t>
  </si>
  <si>
    <t>Step 1  Net profit Jan/Feb/Mar as delivered</t>
  </si>
  <si>
    <t>1,700 / 2,700 / 4,500 - matched</t>
  </si>
  <si>
    <t>Step 2  Loan (Feb, accts 1000 &amp; 2500)</t>
  </si>
  <si>
    <t>Category = Balance Sheet, PLAmount = 0. A loan raises cash and debt, not profit. Feb profit stays 2,700.</t>
  </si>
  <si>
    <t>Step 3  Mapped 6900 Travel as Opex</t>
  </si>
  <si>
    <t>Mar profit 4,500 -&gt; 4,100. Unmapped count 1 -&gt; 0.</t>
  </si>
  <si>
    <t>Step 4  Added April (8 lines)</t>
  </si>
  <si>
    <t>Apr profit = 3,900. All checks PASS. Net profit Jan-Apr: 1,700 / 2,700 / 4,100 / 3,900.</t>
  </si>
  <si>
    <t>Step 5  Changed 6200 Marketing from Opex to COGS</t>
  </si>
  <si>
    <t>Feb gross profit 6,000 -&gt; 5,200; Feb net profit unchanged at 2,700. Apr gross profit 8,000 -&gt; 7,400; net 3,900 unchanged. Lesson: classification changes gross profit, not net profit. (This workbook is saved with Marketing back as Opex.)</t>
  </si>
  <si>
    <t>Step 6  Added an unbalanced 500 debit (rent, no credit)</t>
  </si>
  <si>
    <t>Only 'Debits minus credits' FAILED (500). Unmapped and tie-out checks still passed, so this check is the only guard against one-sided entries. (Test row not saved in this workbook.)</t>
  </si>
  <si>
    <t>Working-capital step (added after the practice steps above)</t>
  </si>
  <si>
    <t>Added 8 ledger lines: Mar unpaid 5,000 invoice (Dr 1100 / Cr 4100) and unpaid 1,200 marketing bill (Dr 6200 / Cr 2000); Apr customer pays 3,000 and 700 paid to supplier.</t>
  </si>
  <si>
    <t>Profit now: Jan 1,700 | Feb 2,700 | Mar 7,900 | Apr 3,900. The earlier figure of Mar 4,100 is superseded because of the new invoice and bill.</t>
  </si>
  <si>
    <t>Automated Monthly P&amp;L</t>
  </si>
  <si>
    <t>HOW IT WORKS</t>
  </si>
  <si>
    <t>Accounts  - chart of accounts. Add new account codes here (blue = input).</t>
  </si>
  <si>
    <t>Ledger    - paste transactions into columns A:E (Date, AccountCode, Description, Debit, Credit). Columns F:J are formulas, prefilled to row 500.</t>
  </si>
  <si>
    <t>PL        - monthly P&amp;L built with SUMIFS from Ledger. Change the first month in PL!B4 to shift the window.</t>
  </si>
  <si>
    <t>Checks    - debits=credits, unmapped accounts, profit tie-out, loan test. Status turns red if anything fails.</t>
  </si>
  <si>
    <t>ACCOUNTING RULES BUILT IN (Ledger column J, PLAmount)</t>
  </si>
  <si>
    <t>Revenue = Credit - Debit.  COGS and Opex = Debit - Credit.  Balance Sheet accounts = 0 (loans, cash do not touch profit).</t>
  </si>
  <si>
    <t>TO ADD A MONTH: paste the new rows (e.g. from 2026-04_TEST_ONLY.csv) under the last Ledger row, in A:E. PL and Checks update automatically.</t>
  </si>
  <si>
    <t>TO CLEAR THE UNMAPPED FLAG: add 6900 / Travel / Opex to the Accounts sheet.</t>
  </si>
  <si>
    <t>EXPECTED RESULTS (sample data): Jan profit 1,700 | Feb profit 2,700 (10,000 loan excluded) | Mar profit 4,500 with 400 unmapped (becomes 4,100 once 6900 is mapped as Opex) | Apr profit 3,900 once added.</t>
  </si>
  <si>
    <t>NOTE: Power Query folder import cannot be authored from outside Excel. The Power Query version is in LedgerQuery.pq; paste it into Advanced Editor if you want folder import. The Ledger sheet works without it.</t>
  </si>
  <si>
    <t>Colour code: blue text = inputs, black = formulas.</t>
  </si>
  <si>
    <t>BS = balance sheet and CF = cash flow statement, both built from the same Ledger. Overall check status is now Checks!B14.</t>
  </si>
  <si>
    <t>Working capital: accounts 1100 (receivable) and 2000 (payable) are in Accounts, BS and CF. Overall check status is in Checks (see OVERALL STATUS row).</t>
  </si>
  <si>
    <t>Forecast: Assumptions (inputs) drives Forecast (income statement, balance sheet, cash flow for May 2026 - Apr 2027). Overall check status is in Checks (OVERALL STATUS row).</t>
  </si>
  <si>
    <t>DCF: Assumptions (DCF block) drives DCF (free cash flow, valuation, sensitivity). Overall check status is in Checks (OVERALL STATUS row).</t>
  </si>
  <si>
    <t>AccountCode</t>
  </si>
  <si>
    <t>AccountName</t>
  </si>
  <si>
    <t>Category</t>
  </si>
  <si>
    <t>Valid categories: Revenue, COGS, Opex, Balance Sheet. Lookups read rows 2-100.</t>
  </si>
  <si>
    <t>Balance Sheet</t>
  </si>
  <si>
    <t>Bank Loan</t>
  </si>
  <si>
    <t>Product Sales</t>
  </si>
  <si>
    <t>Service Revenue</t>
  </si>
  <si>
    <t>Cost of Goods Sold</t>
  </si>
  <si>
    <t>COGS</t>
  </si>
  <si>
    <t>Salaries</t>
  </si>
  <si>
    <t>Opex</t>
  </si>
  <si>
    <t>Rent</t>
  </si>
  <si>
    <t>Marketing</t>
  </si>
  <si>
    <t>Travel</t>
  </si>
  <si>
    <t>Accounts Receivable</t>
  </si>
  <si>
    <t>Accounts Payable</t>
  </si>
  <si>
    <t>Date</t>
  </si>
  <si>
    <t>Description</t>
  </si>
  <si>
    <t>Debit</t>
  </si>
  <si>
    <t>Credit</t>
  </si>
  <si>
    <t>Status</t>
  </si>
  <si>
    <t>Month</t>
  </si>
  <si>
    <t>PLAmount</t>
  </si>
  <si>
    <t>Product sale</t>
  </si>
  <si>
    <t>Service income</t>
  </si>
  <si>
    <t>Cost of goods</t>
  </si>
  <si>
    <t>Bank loan received</t>
  </si>
  <si>
    <t>Invoice to customer (unpaid)</t>
  </si>
  <si>
    <t>Marketing bill (unpaid)</t>
  </si>
  <si>
    <t>Customer pays part of invoice</t>
  </si>
  <si>
    <t>Supplier payment</t>
  </si>
</sst>
</file>

<file path=xl/styles.xml><?xml version="1.0" encoding="utf-8"?>
<styleSheet xmlns="http://schemas.openxmlformats.org/spreadsheetml/2006/main">
  <numFmts count="11">
    <numFmt numFmtId="176" formatCode="0.0"/>
    <numFmt numFmtId="177" formatCode="0.0\x"/>
    <numFmt numFmtId="178" formatCode="0.0%;\(0.0%\);\-"/>
    <numFmt numFmtId="44" formatCode="_-&quot;£&quot;* #,##0.00_-;\-&quot;£&quot;* #,##0.00_-;_-&quot;£&quot;* &quot;-&quot;??_-;_-@_-"/>
    <numFmt numFmtId="179" formatCode="mmm\ yyyy"/>
    <numFmt numFmtId="180" formatCode="0.000"/>
    <numFmt numFmtId="181" formatCode="#,##0;\(#,##0\);\-"/>
    <numFmt numFmtId="43" formatCode="_-* #,##0.00_-;\-* #,##0.00_-;_-* &quot;-&quot;??_-;_-@_-"/>
    <numFmt numFmtId="41" formatCode="_-* #,##0_-;\-* #,##0_-;_-* &quot;-&quot;_-;_-@_-"/>
    <numFmt numFmtId="182" formatCode="yyyy\-mm\-dd"/>
    <numFmt numFmtId="42" formatCode="_-&quot;£&quot;* #,##0_-;\-&quot;£&quot;* #,##0_-;_-&quot;£&quot;* &quot;-&quot;_-;_-@_-"/>
  </numFmts>
  <fonts count="32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color rgb="FF0000FF"/>
      <name val="Arial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  <scheme val="minor"/>
    </font>
    <font>
      <i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rgb="FF008000"/>
      <name val="Arial"/>
      <charset val="134"/>
    </font>
    <font>
      <b/>
      <sz val="10"/>
      <color rgb="FF008000"/>
      <name val="Arial"/>
      <charset val="134"/>
    </font>
    <font>
      <b/>
      <sz val="10"/>
      <color rgb="FFFFFF00"/>
      <name val="Arial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3" fillId="25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2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0" fillId="29" borderId="9" applyNumberFormat="0" applyFon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49">
    <xf numFmtId="0" fontId="0" fillId="0" borderId="0" xfId="0" applyFont="1" applyAlignment="1"/>
    <xf numFmtId="0" fontId="1" fillId="2" borderId="0" xfId="0" applyFont="1" applyFill="1" applyBorder="1" applyAlignment="1"/>
    <xf numFmtId="182" fontId="2" fillId="0" borderId="0" xfId="0" applyNumberFormat="1" applyFont="1" applyAlignment="1"/>
    <xf numFmtId="0" fontId="2" fillId="0" borderId="0" xfId="0" applyFont="1" applyAlignment="1"/>
    <xf numFmtId="181" fontId="2" fillId="0" borderId="0" xfId="0" applyNumberFormat="1" applyFont="1" applyAlignment="1"/>
    <xf numFmtId="182" fontId="3" fillId="0" borderId="0" xfId="0" applyNumberFormat="1" applyFont="1" applyAlignment="1"/>
    <xf numFmtId="0" fontId="3" fillId="0" borderId="0" xfId="0" applyFont="1" applyAlignment="1"/>
    <xf numFmtId="181" fontId="3" fillId="0" borderId="0" xfId="0" applyNumberFormat="1" applyFont="1" applyAlignment="1"/>
    <xf numFmtId="182" fontId="4" fillId="0" borderId="0" xfId="0" applyNumberFormat="1" applyFont="1" applyAlignment="1"/>
    <xf numFmtId="0" fontId="4" fillId="0" borderId="0" xfId="0" applyFont="1" applyAlignment="1"/>
    <xf numFmtId="181" fontId="4" fillId="0" borderId="0" xfId="0" applyNumberFormat="1" applyFont="1" applyAlignment="1"/>
    <xf numFmtId="0" fontId="5" fillId="0" borderId="0" xfId="0" applyFont="1" applyAlignment="1"/>
    <xf numFmtId="0" fontId="6" fillId="0" borderId="0" xfId="0" applyFont="1" applyAlignment="1"/>
    <xf numFmtId="179" fontId="5" fillId="0" borderId="0" xfId="0" applyNumberFormat="1" applyFont="1" applyAlignment="1"/>
    <xf numFmtId="181" fontId="5" fillId="0" borderId="0" xfId="0" applyNumberFormat="1" applyFont="1" applyAlignment="1"/>
    <xf numFmtId="179" fontId="6" fillId="0" borderId="0" xfId="0" applyNumberFormat="1" applyFont="1" applyAlignment="1"/>
    <xf numFmtId="181" fontId="6" fillId="0" borderId="0" xfId="0" applyNumberFormat="1" applyFont="1" applyAlignment="1"/>
    <xf numFmtId="0" fontId="7" fillId="0" borderId="0" xfId="0" applyFont="1"/>
    <xf numFmtId="0" fontId="8" fillId="0" borderId="0" xfId="0" applyFont="1" applyAlignment="1"/>
    <xf numFmtId="0" fontId="9" fillId="0" borderId="0" xfId="0" applyFont="1" applyAlignment="1"/>
    <xf numFmtId="0" fontId="1" fillId="2" borderId="0" xfId="0" applyFont="1" applyFill="1" applyBorder="1" applyAlignment="1">
      <alignment horizontal="right"/>
    </xf>
    <xf numFmtId="181" fontId="10" fillId="0" borderId="0" xfId="0" applyNumberFormat="1" applyFont="1" applyAlignment="1"/>
    <xf numFmtId="0" fontId="5" fillId="0" borderId="0" xfId="0" applyFont="1" applyAlignment="1">
      <alignment horizontal="right"/>
    </xf>
    <xf numFmtId="178" fontId="10" fillId="0" borderId="0" xfId="0" applyNumberFormat="1" applyFont="1" applyAlignment="1"/>
    <xf numFmtId="181" fontId="11" fillId="0" borderId="0" xfId="0" applyNumberFormat="1" applyFont="1" applyAlignment="1"/>
    <xf numFmtId="181" fontId="9" fillId="0" borderId="0" xfId="0" applyNumberFormat="1" applyFont="1" applyAlignment="1"/>
    <xf numFmtId="178" fontId="5" fillId="0" borderId="0" xfId="0" applyNumberFormat="1" applyFont="1" applyAlignment="1"/>
    <xf numFmtId="181" fontId="9" fillId="0" borderId="1" xfId="0" applyNumberFormat="1" applyFont="1" applyBorder="1" applyAlignment="1"/>
    <xf numFmtId="1" fontId="2" fillId="0" borderId="0" xfId="0" applyNumberFormat="1" applyFont="1" applyAlignment="1"/>
    <xf numFmtId="1" fontId="5" fillId="0" borderId="0" xfId="0" applyNumberFormat="1" applyFont="1" applyAlignment="1"/>
    <xf numFmtId="180" fontId="5" fillId="0" borderId="0" xfId="0" applyNumberFormat="1" applyFont="1" applyAlignment="1"/>
    <xf numFmtId="0" fontId="3" fillId="2" borderId="0" xfId="0" applyFont="1" applyFill="1" applyBorder="1" applyAlignment="1"/>
    <xf numFmtId="181" fontId="9" fillId="0" borderId="2" xfId="0" applyNumberFormat="1" applyFont="1" applyBorder="1" applyAlignment="1"/>
    <xf numFmtId="177" fontId="5" fillId="0" borderId="0" xfId="0" applyNumberFormat="1" applyFont="1" applyAlignment="1"/>
    <xf numFmtId="178" fontId="1" fillId="2" borderId="0" xfId="0" applyNumberFormat="1" applyFont="1" applyFill="1" applyBorder="1" applyAlignment="1">
      <alignment horizontal="right"/>
    </xf>
    <xf numFmtId="178" fontId="9" fillId="0" borderId="0" xfId="0" applyNumberFormat="1" applyFont="1" applyAlignment="1">
      <alignment horizontal="left"/>
    </xf>
    <xf numFmtId="181" fontId="5" fillId="0" borderId="0" xfId="0" applyNumberFormat="1" applyFont="1" applyAlignment="1">
      <alignment horizontal="right"/>
    </xf>
    <xf numFmtId="181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79" fontId="1" fillId="2" borderId="0" xfId="0" applyNumberFormat="1" applyFont="1" applyFill="1" applyBorder="1" applyAlignment="1">
      <alignment horizontal="right"/>
    </xf>
    <xf numFmtId="181" fontId="11" fillId="0" borderId="2" xfId="0" applyNumberFormat="1" applyFont="1" applyBorder="1" applyAlignment="1"/>
    <xf numFmtId="178" fontId="2" fillId="3" borderId="0" xfId="0" applyNumberFormat="1" applyFont="1" applyFill="1" applyBorder="1" applyAlignment="1"/>
    <xf numFmtId="176" fontId="2" fillId="3" borderId="0" xfId="0" applyNumberFormat="1" applyFont="1" applyFill="1" applyBorder="1" applyAlignment="1"/>
    <xf numFmtId="176" fontId="10" fillId="0" borderId="0" xfId="0" applyNumberFormat="1" applyFont="1" applyAlignment="1"/>
    <xf numFmtId="181" fontId="2" fillId="3" borderId="0" xfId="0" applyNumberFormat="1" applyFont="1" applyFill="1" applyBorder="1" applyAlignment="1"/>
    <xf numFmtId="0" fontId="9" fillId="0" borderId="1" xfId="0" applyFont="1" applyBorder="1" applyAlignment="1"/>
    <xf numFmtId="0" fontId="9" fillId="0" borderId="2" xfId="0" applyFont="1" applyBorder="1" applyAlignment="1"/>
    <xf numFmtId="179" fontId="12" fillId="2" borderId="0" xfId="0" applyNumberFormat="1" applyFont="1" applyFill="1" applyBorder="1" applyAlignment="1">
      <alignment horizontal="right"/>
    </xf>
    <xf numFmtId="0" fontId="5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1" sqref="A1"/>
    </sheetView>
  </sheetViews>
  <sheetFormatPr defaultColWidth="14.4296875" defaultRowHeight="15" customHeight="1"/>
  <cols>
    <col min="1" max="1" width="34" customWidth="1"/>
    <col min="2" max="6" width="13" customWidth="1"/>
    <col min="7" max="26" width="8.7109375" customWidth="1"/>
  </cols>
  <sheetData>
    <row r="1" ht="17.25" customHeight="1" spans="1:26">
      <c r="A1" s="19" t="s">
        <v>0</v>
      </c>
      <c r="B1" s="11"/>
      <c r="C1" s="11"/>
      <c r="D1" s="11"/>
      <c r="E1" s="11"/>
      <c r="F1" s="11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customHeight="1" spans="1:26">
      <c r="A2" s="18" t="s">
        <v>1</v>
      </c>
      <c r="B2" s="11"/>
      <c r="C2" s="11"/>
      <c r="D2" s="11"/>
      <c r="E2" s="11"/>
      <c r="F2" s="11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4" spans="1:26">
      <c r="A3" s="11"/>
      <c r="B3" s="11"/>
      <c r="C3" s="11"/>
      <c r="D3" s="11"/>
      <c r="E3" s="11"/>
      <c r="F3" s="11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customHeight="1" spans="1:26">
      <c r="A4" s="1" t="s">
        <v>2</v>
      </c>
      <c r="B4" s="47">
        <v>46023</v>
      </c>
      <c r="C4" s="39">
        <f t="shared" ref="C4:E4" si="0">EDATE(B4,1)</f>
        <v>46054</v>
      </c>
      <c r="D4" s="39">
        <f t="shared" si="0"/>
        <v>46082</v>
      </c>
      <c r="E4" s="39">
        <f t="shared" si="0"/>
        <v>46113</v>
      </c>
      <c r="F4" s="20" t="s">
        <v>3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customHeight="1" spans="1:26">
      <c r="A5" s="11" t="s">
        <v>4</v>
      </c>
      <c r="B5" s="14">
        <f>SUMIFS(Ledger!$J$2:$J$500,Ledger!$G$2:$G$500,"Revenue",Ledger!$I$2:$I$500,B$4)</f>
        <v>7000</v>
      </c>
      <c r="C5" s="14">
        <f>SUMIFS(Ledger!$J$2:$J$500,Ledger!$G$2:$G$500,"Revenue",Ledger!$I$2:$I$500,C$4)</f>
        <v>6000</v>
      </c>
      <c r="D5" s="14">
        <f>SUMIFS(Ledger!$J$2:$J$500,Ledger!$G$2:$G$500,"Revenue",Ledger!$I$2:$I$500,D$4)</f>
        <v>12000</v>
      </c>
      <c r="E5" s="14">
        <f>SUMIFS(Ledger!$J$2:$J$500,Ledger!$G$2:$G$500,"Revenue",Ledger!$I$2:$I$500,E$4)</f>
        <v>8000</v>
      </c>
      <c r="F5" s="14">
        <f t="shared" ref="F5:F9" si="1">SUM(B5:E5)</f>
        <v>33000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customHeight="1" spans="1:26">
      <c r="A6" s="11" t="s">
        <v>5</v>
      </c>
      <c r="B6" s="14">
        <f>SUMIFS(Ledger!$J$2:$J$500,Ledger!$G$2:$G$500,"COGS",Ledger!$I$2:$I$500,B$4)</f>
        <v>1800</v>
      </c>
      <c r="C6" s="14">
        <f>SUMIFS(Ledger!$J$2:$J$500,Ledger!$G$2:$G$500,"COGS",Ledger!$I$2:$I$500,C$4)</f>
        <v>0</v>
      </c>
      <c r="D6" s="14">
        <f>SUMIFS(Ledger!$J$2:$J$500,Ledger!$G$2:$G$500,"COGS",Ledger!$I$2:$I$500,D$4)</f>
        <v>0</v>
      </c>
      <c r="E6" s="14">
        <f>SUMIFS(Ledger!$J$2:$J$500,Ledger!$G$2:$G$500,"COGS",Ledger!$I$2:$I$500,E$4)</f>
        <v>0</v>
      </c>
      <c r="F6" s="14">
        <f t="shared" si="1"/>
        <v>1800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customHeight="1" spans="1:26">
      <c r="A7" s="19" t="s">
        <v>6</v>
      </c>
      <c r="B7" s="25">
        <f t="shared" ref="B7:E7" si="2">B5-B6</f>
        <v>5200</v>
      </c>
      <c r="C7" s="25">
        <f t="shared" si="2"/>
        <v>6000</v>
      </c>
      <c r="D7" s="25">
        <f t="shared" si="2"/>
        <v>12000</v>
      </c>
      <c r="E7" s="25">
        <f t="shared" si="2"/>
        <v>8000</v>
      </c>
      <c r="F7" s="25">
        <f t="shared" si="1"/>
        <v>31200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customHeight="1" spans="1:26">
      <c r="A8" s="11" t="s">
        <v>7</v>
      </c>
      <c r="B8" s="14">
        <f>SUMIFS(Ledger!$J$2:$J$500,Ledger!$G$2:$G$500,"Opex",Ledger!$I$2:$I$500,B$4)</f>
        <v>3500</v>
      </c>
      <c r="C8" s="14">
        <f>SUMIFS(Ledger!$J$2:$J$500,Ledger!$G$2:$G$500,"Opex",Ledger!$I$2:$I$500,C$4)</f>
        <v>3300</v>
      </c>
      <c r="D8" s="14">
        <f>SUMIFS(Ledger!$J$2:$J$500,Ledger!$G$2:$G$500,"Opex",Ledger!$I$2:$I$500,D$4)</f>
        <v>4100</v>
      </c>
      <c r="E8" s="14">
        <f>SUMIFS(Ledger!$J$2:$J$500,Ledger!$G$2:$G$500,"Opex",Ledger!$I$2:$I$500,E$4)</f>
        <v>4100</v>
      </c>
      <c r="F8" s="14">
        <f t="shared" si="1"/>
        <v>15000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customHeight="1" spans="1:26">
      <c r="A9" s="46" t="s">
        <v>8</v>
      </c>
      <c r="B9" s="32">
        <f t="shared" ref="B9:E9" si="3">B7-B8</f>
        <v>1700</v>
      </c>
      <c r="C9" s="32">
        <f t="shared" si="3"/>
        <v>2700</v>
      </c>
      <c r="D9" s="32">
        <f t="shared" si="3"/>
        <v>7900</v>
      </c>
      <c r="E9" s="32">
        <f t="shared" si="3"/>
        <v>3900</v>
      </c>
      <c r="F9" s="32">
        <f t="shared" si="1"/>
        <v>16200</v>
      </c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4.75" spans="1:26">
      <c r="A10" s="11"/>
      <c r="B10" s="11"/>
      <c r="C10" s="11"/>
      <c r="D10" s="11"/>
      <c r="E10" s="11"/>
      <c r="F10" s="11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customHeight="1" spans="1:26">
      <c r="A11" s="18" t="s">
        <v>9</v>
      </c>
      <c r="B11" s="11"/>
      <c r="C11" s="11"/>
      <c r="D11" s="11"/>
      <c r="E11" s="11"/>
      <c r="F11" s="14">
        <f>SUMIFS(Ledger!$D$2:$D$500,Ledger!$H$2:$H$500,"UNMAPPED")+SUMIFS(Ledger!$E$2:$E$500,Ledger!$H$2:$H$500,"UNMAPPED")</f>
        <v>0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4" spans="1:26">
      <c r="A12" s="11"/>
      <c r="B12" s="11"/>
      <c r="C12" s="11"/>
      <c r="D12" s="11"/>
      <c r="E12" s="11"/>
      <c r="F12" s="11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4" spans="1:26">
      <c r="A13" s="11"/>
      <c r="B13" s="11"/>
      <c r="C13" s="11"/>
      <c r="D13" s="11"/>
      <c r="E13" s="11"/>
      <c r="F13" s="11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4" spans="1:26">
      <c r="A14" s="11"/>
      <c r="B14" s="11"/>
      <c r="C14" s="11"/>
      <c r="D14" s="11"/>
      <c r="E14" s="11"/>
      <c r="F14" s="11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4" spans="1:26">
      <c r="A15" s="11"/>
      <c r="B15" s="11"/>
      <c r="C15" s="11"/>
      <c r="D15" s="11"/>
      <c r="E15" s="11"/>
      <c r="F15" s="11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4" spans="1:26">
      <c r="A16" s="11"/>
      <c r="B16" s="11"/>
      <c r="C16" s="11"/>
      <c r="D16" s="11"/>
      <c r="E16" s="11"/>
      <c r="F16" s="11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4" spans="1:26">
      <c r="A17" s="11"/>
      <c r="B17" s="11"/>
      <c r="C17" s="11"/>
      <c r="D17" s="11"/>
      <c r="E17" s="11"/>
      <c r="F17" s="11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4" spans="1:26">
      <c r="A18" s="11"/>
      <c r="B18" s="11"/>
      <c r="C18" s="11"/>
      <c r="D18" s="11"/>
      <c r="E18" s="11"/>
      <c r="F18" s="11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4" spans="1:26">
      <c r="A19" s="11"/>
      <c r="B19" s="11"/>
      <c r="C19" s="11"/>
      <c r="D19" s="11"/>
      <c r="E19" s="11"/>
      <c r="F19" s="11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4" spans="1:26">
      <c r="A20" s="11"/>
      <c r="B20" s="11"/>
      <c r="C20" s="11"/>
      <c r="D20" s="11"/>
      <c r="E20" s="11"/>
      <c r="F20" s="11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5.75" customHeight="1" spans="1:26">
      <c r="A21" s="11"/>
      <c r="B21" s="11"/>
      <c r="C21" s="11"/>
      <c r="D21" s="11"/>
      <c r="E21" s="11"/>
      <c r="F21" s="11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5.75" customHeight="1" spans="1:26">
      <c r="A22" s="11"/>
      <c r="B22" s="11"/>
      <c r="C22" s="11"/>
      <c r="D22" s="11"/>
      <c r="E22" s="11"/>
      <c r="F22" s="11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5.75" customHeight="1" spans="1:26">
      <c r="A23" s="11"/>
      <c r="B23" s="11"/>
      <c r="C23" s="11"/>
      <c r="D23" s="11"/>
      <c r="E23" s="11"/>
      <c r="F23" s="11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 customHeight="1" spans="1:26">
      <c r="A24" s="11"/>
      <c r="B24" s="11"/>
      <c r="C24" s="11"/>
      <c r="D24" s="11"/>
      <c r="E24" s="11"/>
      <c r="F24" s="11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 customHeight="1" spans="1:26">
      <c r="A25" s="11"/>
      <c r="B25" s="11"/>
      <c r="C25" s="11"/>
      <c r="D25" s="11"/>
      <c r="E25" s="11"/>
      <c r="F25" s="11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 customHeight="1" spans="1:26">
      <c r="A26" s="11"/>
      <c r="B26" s="11"/>
      <c r="C26" s="11"/>
      <c r="D26" s="11"/>
      <c r="E26" s="11"/>
      <c r="F26" s="11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 customHeight="1" spans="1:26">
      <c r="A27" s="11"/>
      <c r="B27" s="11"/>
      <c r="C27" s="11"/>
      <c r="D27" s="11"/>
      <c r="E27" s="11"/>
      <c r="F27" s="11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 customHeight="1" spans="1:26">
      <c r="A28" s="11"/>
      <c r="B28" s="11"/>
      <c r="C28" s="11"/>
      <c r="D28" s="11"/>
      <c r="E28" s="11"/>
      <c r="F28" s="11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 customHeight="1" spans="1:26">
      <c r="A29" s="11"/>
      <c r="B29" s="11"/>
      <c r="C29" s="11"/>
      <c r="D29" s="11"/>
      <c r="E29" s="11"/>
      <c r="F29" s="11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 customHeight="1" spans="1:26">
      <c r="A30" s="11"/>
      <c r="B30" s="11"/>
      <c r="C30" s="11"/>
      <c r="D30" s="11"/>
      <c r="E30" s="11"/>
      <c r="F30" s="11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 customHeight="1" spans="1:26">
      <c r="A31" s="11"/>
      <c r="B31" s="11"/>
      <c r="C31" s="11"/>
      <c r="D31" s="11"/>
      <c r="E31" s="11"/>
      <c r="F31" s="11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 customHeight="1" spans="1:26">
      <c r="A32" s="11"/>
      <c r="B32" s="11"/>
      <c r="C32" s="11"/>
      <c r="D32" s="11"/>
      <c r="E32" s="11"/>
      <c r="F32" s="11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 customHeight="1" spans="1:26">
      <c r="A33" s="11"/>
      <c r="B33" s="11"/>
      <c r="C33" s="11"/>
      <c r="D33" s="11"/>
      <c r="E33" s="11"/>
      <c r="F33" s="11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 customHeight="1" spans="1:26">
      <c r="A34" s="11"/>
      <c r="B34" s="11"/>
      <c r="C34" s="11"/>
      <c r="D34" s="11"/>
      <c r="E34" s="11"/>
      <c r="F34" s="11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 customHeight="1" spans="1:26">
      <c r="A35" s="11"/>
      <c r="B35" s="11"/>
      <c r="C35" s="11"/>
      <c r="D35" s="11"/>
      <c r="E35" s="11"/>
      <c r="F35" s="11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 customHeight="1" spans="1:26">
      <c r="A36" s="11"/>
      <c r="B36" s="11"/>
      <c r="C36" s="11"/>
      <c r="D36" s="11"/>
      <c r="E36" s="11"/>
      <c r="F36" s="11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 customHeight="1" spans="1:26">
      <c r="A37" s="11"/>
      <c r="B37" s="11"/>
      <c r="C37" s="11"/>
      <c r="D37" s="11"/>
      <c r="E37" s="11"/>
      <c r="F37" s="11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 customHeight="1" spans="1:26">
      <c r="A38" s="11"/>
      <c r="B38" s="11"/>
      <c r="C38" s="11"/>
      <c r="D38" s="11"/>
      <c r="E38" s="11"/>
      <c r="F38" s="11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 customHeight="1" spans="1:26">
      <c r="A39" s="11"/>
      <c r="B39" s="11"/>
      <c r="C39" s="11"/>
      <c r="D39" s="11"/>
      <c r="E39" s="11"/>
      <c r="F39" s="11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 customHeight="1" spans="1:26">
      <c r="A40" s="11"/>
      <c r="B40" s="11"/>
      <c r="C40" s="11"/>
      <c r="D40" s="11"/>
      <c r="E40" s="11"/>
      <c r="F40" s="11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 customHeight="1" spans="1:26">
      <c r="A41" s="11"/>
      <c r="B41" s="11"/>
      <c r="C41" s="11"/>
      <c r="D41" s="11"/>
      <c r="E41" s="11"/>
      <c r="F41" s="11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 customHeight="1" spans="1:26">
      <c r="A42" s="11"/>
      <c r="B42" s="11"/>
      <c r="C42" s="11"/>
      <c r="D42" s="11"/>
      <c r="E42" s="11"/>
      <c r="F42" s="11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 customHeight="1" spans="1:26">
      <c r="A43" s="11"/>
      <c r="B43" s="11"/>
      <c r="C43" s="11"/>
      <c r="D43" s="11"/>
      <c r="E43" s="11"/>
      <c r="F43" s="11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 customHeight="1" spans="1:26">
      <c r="A44" s="11"/>
      <c r="B44" s="11"/>
      <c r="C44" s="11"/>
      <c r="D44" s="11"/>
      <c r="E44" s="11"/>
      <c r="F44" s="11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 customHeight="1" spans="1:26">
      <c r="A45" s="11"/>
      <c r="B45" s="11"/>
      <c r="C45" s="11"/>
      <c r="D45" s="11"/>
      <c r="E45" s="11"/>
      <c r="F45" s="11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 customHeight="1" spans="1:26">
      <c r="A46" s="11"/>
      <c r="B46" s="11"/>
      <c r="C46" s="11"/>
      <c r="D46" s="11"/>
      <c r="E46" s="11"/>
      <c r="F46" s="11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 customHeight="1" spans="1:26">
      <c r="A47" s="11"/>
      <c r="B47" s="11"/>
      <c r="C47" s="11"/>
      <c r="D47" s="11"/>
      <c r="E47" s="11"/>
      <c r="F47" s="11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 customHeight="1" spans="1:26">
      <c r="A48" s="11"/>
      <c r="B48" s="11"/>
      <c r="C48" s="11"/>
      <c r="D48" s="11"/>
      <c r="E48" s="11"/>
      <c r="F48" s="11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 customHeight="1" spans="1:26">
      <c r="A49" s="11"/>
      <c r="B49" s="11"/>
      <c r="C49" s="11"/>
      <c r="D49" s="11"/>
      <c r="E49" s="11"/>
      <c r="F49" s="11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 customHeight="1" spans="1:26">
      <c r="A50" s="11"/>
      <c r="B50" s="11"/>
      <c r="C50" s="11"/>
      <c r="D50" s="11"/>
      <c r="E50" s="11"/>
      <c r="F50" s="11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 customHeight="1" spans="1:26">
      <c r="A51" s="11"/>
      <c r="B51" s="11"/>
      <c r="C51" s="11"/>
      <c r="D51" s="11"/>
      <c r="E51" s="11"/>
      <c r="F51" s="11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 customHeight="1" spans="1:26">
      <c r="A52" s="11"/>
      <c r="B52" s="11"/>
      <c r="C52" s="11"/>
      <c r="D52" s="11"/>
      <c r="E52" s="11"/>
      <c r="F52" s="11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 customHeight="1" spans="1:26">
      <c r="A53" s="11"/>
      <c r="B53" s="11"/>
      <c r="C53" s="11"/>
      <c r="D53" s="11"/>
      <c r="E53" s="11"/>
      <c r="F53" s="11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 customHeight="1" spans="1:26">
      <c r="A54" s="11"/>
      <c r="B54" s="11"/>
      <c r="C54" s="11"/>
      <c r="D54" s="11"/>
      <c r="E54" s="11"/>
      <c r="F54" s="11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 customHeight="1" spans="1:26">
      <c r="A55" s="11"/>
      <c r="B55" s="11"/>
      <c r="C55" s="11"/>
      <c r="D55" s="11"/>
      <c r="E55" s="11"/>
      <c r="F55" s="11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 customHeight="1" spans="1:26">
      <c r="A56" s="11"/>
      <c r="B56" s="11"/>
      <c r="C56" s="11"/>
      <c r="D56" s="11"/>
      <c r="E56" s="11"/>
      <c r="F56" s="11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 customHeight="1" spans="1:26">
      <c r="A57" s="11"/>
      <c r="B57" s="11"/>
      <c r="C57" s="11"/>
      <c r="D57" s="11"/>
      <c r="E57" s="11"/>
      <c r="F57" s="11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 customHeight="1" spans="1:26">
      <c r="A58" s="11"/>
      <c r="B58" s="11"/>
      <c r="C58" s="11"/>
      <c r="D58" s="11"/>
      <c r="E58" s="11"/>
      <c r="F58" s="11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 customHeight="1" spans="1:26">
      <c r="A59" s="11"/>
      <c r="B59" s="11"/>
      <c r="C59" s="11"/>
      <c r="D59" s="11"/>
      <c r="E59" s="11"/>
      <c r="F59" s="11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 spans="1:26">
      <c r="A60" s="11"/>
      <c r="B60" s="11"/>
      <c r="C60" s="11"/>
      <c r="D60" s="11"/>
      <c r="E60" s="11"/>
      <c r="F60" s="11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 customHeight="1" spans="1:26">
      <c r="A61" s="11"/>
      <c r="B61" s="11"/>
      <c r="C61" s="11"/>
      <c r="D61" s="11"/>
      <c r="E61" s="11"/>
      <c r="F61" s="11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 customHeight="1" spans="1:26">
      <c r="A62" s="11"/>
      <c r="B62" s="11"/>
      <c r="C62" s="11"/>
      <c r="D62" s="11"/>
      <c r="E62" s="11"/>
      <c r="F62" s="11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 spans="1:26">
      <c r="A63" s="11"/>
      <c r="B63" s="11"/>
      <c r="C63" s="11"/>
      <c r="D63" s="11"/>
      <c r="E63" s="11"/>
      <c r="F63" s="11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 customHeight="1" spans="1:26">
      <c r="A64" s="11"/>
      <c r="B64" s="11"/>
      <c r="C64" s="11"/>
      <c r="D64" s="11"/>
      <c r="E64" s="11"/>
      <c r="F64" s="11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 customHeight="1" spans="1:26">
      <c r="A65" s="11"/>
      <c r="B65" s="11"/>
      <c r="C65" s="11"/>
      <c r="D65" s="11"/>
      <c r="E65" s="11"/>
      <c r="F65" s="11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 customHeight="1" spans="1:26">
      <c r="A66" s="11"/>
      <c r="B66" s="11"/>
      <c r="C66" s="11"/>
      <c r="D66" s="11"/>
      <c r="E66" s="11"/>
      <c r="F66" s="11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 customHeight="1" spans="1:26">
      <c r="A67" s="11"/>
      <c r="B67" s="11"/>
      <c r="C67" s="11"/>
      <c r="D67" s="11"/>
      <c r="E67" s="11"/>
      <c r="F67" s="11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 customHeight="1" spans="1:26">
      <c r="A68" s="11"/>
      <c r="B68" s="11"/>
      <c r="C68" s="11"/>
      <c r="D68" s="11"/>
      <c r="E68" s="11"/>
      <c r="F68" s="11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 customHeight="1" spans="1:26">
      <c r="A69" s="11"/>
      <c r="B69" s="11"/>
      <c r="C69" s="11"/>
      <c r="D69" s="11"/>
      <c r="E69" s="11"/>
      <c r="F69" s="11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 spans="1:26">
      <c r="A70" s="11"/>
      <c r="B70" s="11"/>
      <c r="C70" s="11"/>
      <c r="D70" s="11"/>
      <c r="E70" s="11"/>
      <c r="F70" s="11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 spans="1:26">
      <c r="A71" s="11"/>
      <c r="B71" s="11"/>
      <c r="C71" s="11"/>
      <c r="D71" s="11"/>
      <c r="E71" s="11"/>
      <c r="F71" s="11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 spans="1:26">
      <c r="A72" s="11"/>
      <c r="B72" s="11"/>
      <c r="C72" s="11"/>
      <c r="D72" s="11"/>
      <c r="E72" s="11"/>
      <c r="F72" s="11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 spans="1:26">
      <c r="A73" s="11"/>
      <c r="B73" s="11"/>
      <c r="C73" s="11"/>
      <c r="D73" s="11"/>
      <c r="E73" s="11"/>
      <c r="F73" s="11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 spans="1:26">
      <c r="A74" s="11"/>
      <c r="B74" s="11"/>
      <c r="C74" s="11"/>
      <c r="D74" s="11"/>
      <c r="E74" s="11"/>
      <c r="F74" s="11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 spans="1:26">
      <c r="A75" s="11"/>
      <c r="B75" s="11"/>
      <c r="C75" s="11"/>
      <c r="D75" s="11"/>
      <c r="E75" s="11"/>
      <c r="F75" s="11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 spans="1:26">
      <c r="A76" s="11"/>
      <c r="B76" s="11"/>
      <c r="C76" s="11"/>
      <c r="D76" s="11"/>
      <c r="E76" s="11"/>
      <c r="F76" s="11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 spans="1:26">
      <c r="A77" s="11"/>
      <c r="B77" s="11"/>
      <c r="C77" s="11"/>
      <c r="D77" s="11"/>
      <c r="E77" s="11"/>
      <c r="F77" s="11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 spans="1:26">
      <c r="A78" s="11"/>
      <c r="B78" s="11"/>
      <c r="C78" s="11"/>
      <c r="D78" s="11"/>
      <c r="E78" s="11"/>
      <c r="F78" s="11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 spans="1:26">
      <c r="A79" s="11"/>
      <c r="B79" s="11"/>
      <c r="C79" s="11"/>
      <c r="D79" s="11"/>
      <c r="E79" s="11"/>
      <c r="F79" s="11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 spans="1:26">
      <c r="A80" s="11"/>
      <c r="B80" s="11"/>
      <c r="C80" s="11"/>
      <c r="D80" s="11"/>
      <c r="E80" s="11"/>
      <c r="F80" s="11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 spans="1:26">
      <c r="A81" s="11"/>
      <c r="B81" s="11"/>
      <c r="C81" s="11"/>
      <c r="D81" s="11"/>
      <c r="E81" s="11"/>
      <c r="F81" s="11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 spans="1:26">
      <c r="A82" s="11"/>
      <c r="B82" s="11"/>
      <c r="C82" s="11"/>
      <c r="D82" s="11"/>
      <c r="E82" s="11"/>
      <c r="F82" s="11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 spans="1:26">
      <c r="A83" s="11"/>
      <c r="B83" s="11"/>
      <c r="C83" s="11"/>
      <c r="D83" s="11"/>
      <c r="E83" s="11"/>
      <c r="F83" s="11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 spans="1:26">
      <c r="A84" s="11"/>
      <c r="B84" s="11"/>
      <c r="C84" s="11"/>
      <c r="D84" s="11"/>
      <c r="E84" s="11"/>
      <c r="F84" s="11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 spans="1:26">
      <c r="A85" s="11"/>
      <c r="B85" s="11"/>
      <c r="C85" s="11"/>
      <c r="D85" s="11"/>
      <c r="E85" s="11"/>
      <c r="F85" s="11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 spans="1:26">
      <c r="A86" s="11"/>
      <c r="B86" s="11"/>
      <c r="C86" s="11"/>
      <c r="D86" s="11"/>
      <c r="E86" s="11"/>
      <c r="F86" s="11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 spans="1:26">
      <c r="A87" s="11"/>
      <c r="B87" s="11"/>
      <c r="C87" s="11"/>
      <c r="D87" s="11"/>
      <c r="E87" s="11"/>
      <c r="F87" s="11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 spans="1:26">
      <c r="A88" s="11"/>
      <c r="B88" s="11"/>
      <c r="C88" s="11"/>
      <c r="D88" s="11"/>
      <c r="E88" s="11"/>
      <c r="F88" s="11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 spans="1:26">
      <c r="A89" s="11"/>
      <c r="B89" s="11"/>
      <c r="C89" s="11"/>
      <c r="D89" s="11"/>
      <c r="E89" s="11"/>
      <c r="F89" s="11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 spans="1:26">
      <c r="A90" s="11"/>
      <c r="B90" s="11"/>
      <c r="C90" s="11"/>
      <c r="D90" s="11"/>
      <c r="E90" s="11"/>
      <c r="F90" s="11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 spans="1:26">
      <c r="A91" s="11"/>
      <c r="B91" s="11"/>
      <c r="C91" s="11"/>
      <c r="D91" s="11"/>
      <c r="E91" s="11"/>
      <c r="F91" s="11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 spans="1:26">
      <c r="A92" s="11"/>
      <c r="B92" s="11"/>
      <c r="C92" s="11"/>
      <c r="D92" s="11"/>
      <c r="E92" s="11"/>
      <c r="F92" s="11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 spans="1:26">
      <c r="A93" s="11"/>
      <c r="B93" s="11"/>
      <c r="C93" s="11"/>
      <c r="D93" s="11"/>
      <c r="E93" s="11"/>
      <c r="F93" s="11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 spans="1:26">
      <c r="A94" s="11"/>
      <c r="B94" s="11"/>
      <c r="C94" s="11"/>
      <c r="D94" s="11"/>
      <c r="E94" s="11"/>
      <c r="F94" s="11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 spans="1:26">
      <c r="A95" s="11"/>
      <c r="B95" s="11"/>
      <c r="C95" s="11"/>
      <c r="D95" s="11"/>
      <c r="E95" s="11"/>
      <c r="F95" s="11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 spans="1:26">
      <c r="A96" s="11"/>
      <c r="B96" s="11"/>
      <c r="C96" s="11"/>
      <c r="D96" s="11"/>
      <c r="E96" s="11"/>
      <c r="F96" s="11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 spans="1:26">
      <c r="A97" s="11"/>
      <c r="B97" s="11"/>
      <c r="C97" s="11"/>
      <c r="D97" s="11"/>
      <c r="E97" s="11"/>
      <c r="F97" s="11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 spans="1:26">
      <c r="A98" s="11"/>
      <c r="B98" s="11"/>
      <c r="C98" s="11"/>
      <c r="D98" s="11"/>
      <c r="E98" s="11"/>
      <c r="F98" s="11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 spans="1:26">
      <c r="A99" s="11"/>
      <c r="B99" s="11"/>
      <c r="C99" s="11"/>
      <c r="D99" s="11"/>
      <c r="E99" s="11"/>
      <c r="F99" s="11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 spans="1:26">
      <c r="A100" s="11"/>
      <c r="B100" s="11"/>
      <c r="C100" s="11"/>
      <c r="D100" s="11"/>
      <c r="E100" s="11"/>
      <c r="F100" s="11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 spans="1:26">
      <c r="A101" s="11"/>
      <c r="B101" s="11"/>
      <c r="C101" s="11"/>
      <c r="D101" s="11"/>
      <c r="E101" s="11"/>
      <c r="F101" s="11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 spans="1:26">
      <c r="A102" s="11"/>
      <c r="B102" s="11"/>
      <c r="C102" s="11"/>
      <c r="D102" s="11"/>
      <c r="E102" s="11"/>
      <c r="F102" s="11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 spans="1:26">
      <c r="A103" s="11"/>
      <c r="B103" s="11"/>
      <c r="C103" s="11"/>
      <c r="D103" s="11"/>
      <c r="E103" s="11"/>
      <c r="F103" s="11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 spans="1:26">
      <c r="A104" s="11"/>
      <c r="B104" s="11"/>
      <c r="C104" s="11"/>
      <c r="D104" s="11"/>
      <c r="E104" s="11"/>
      <c r="F104" s="11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 spans="1:26">
      <c r="A105" s="11"/>
      <c r="B105" s="11"/>
      <c r="C105" s="11"/>
      <c r="D105" s="11"/>
      <c r="E105" s="11"/>
      <c r="F105" s="11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 spans="1:26">
      <c r="A106" s="11"/>
      <c r="B106" s="11"/>
      <c r="C106" s="11"/>
      <c r="D106" s="11"/>
      <c r="E106" s="11"/>
      <c r="F106" s="11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 spans="1:26">
      <c r="A107" s="11"/>
      <c r="B107" s="11"/>
      <c r="C107" s="11"/>
      <c r="D107" s="11"/>
      <c r="E107" s="11"/>
      <c r="F107" s="11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 spans="1:26">
      <c r="A108" s="11"/>
      <c r="B108" s="11"/>
      <c r="C108" s="11"/>
      <c r="D108" s="11"/>
      <c r="E108" s="11"/>
      <c r="F108" s="11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 spans="1:26">
      <c r="A109" s="11"/>
      <c r="B109" s="11"/>
      <c r="C109" s="11"/>
      <c r="D109" s="11"/>
      <c r="E109" s="11"/>
      <c r="F109" s="11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 spans="1:26">
      <c r="A110" s="11"/>
      <c r="B110" s="11"/>
      <c r="C110" s="11"/>
      <c r="D110" s="11"/>
      <c r="E110" s="11"/>
      <c r="F110" s="11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 spans="1:26">
      <c r="A111" s="11"/>
      <c r="B111" s="11"/>
      <c r="C111" s="11"/>
      <c r="D111" s="11"/>
      <c r="E111" s="11"/>
      <c r="F111" s="11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 spans="1:26">
      <c r="A112" s="11"/>
      <c r="B112" s="11"/>
      <c r="C112" s="11"/>
      <c r="D112" s="11"/>
      <c r="E112" s="11"/>
      <c r="F112" s="11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 spans="1:26">
      <c r="A113" s="11"/>
      <c r="B113" s="11"/>
      <c r="C113" s="11"/>
      <c r="D113" s="11"/>
      <c r="E113" s="11"/>
      <c r="F113" s="11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 spans="1:26">
      <c r="A114" s="11"/>
      <c r="B114" s="11"/>
      <c r="C114" s="11"/>
      <c r="D114" s="11"/>
      <c r="E114" s="11"/>
      <c r="F114" s="11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 spans="1:26">
      <c r="A115" s="11"/>
      <c r="B115" s="11"/>
      <c r="C115" s="11"/>
      <c r="D115" s="11"/>
      <c r="E115" s="11"/>
      <c r="F115" s="11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 spans="1:26">
      <c r="A116" s="11"/>
      <c r="B116" s="11"/>
      <c r="C116" s="11"/>
      <c r="D116" s="11"/>
      <c r="E116" s="11"/>
      <c r="F116" s="11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 spans="1:26">
      <c r="A117" s="11"/>
      <c r="B117" s="11"/>
      <c r="C117" s="11"/>
      <c r="D117" s="11"/>
      <c r="E117" s="11"/>
      <c r="F117" s="11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 spans="1:26">
      <c r="A118" s="11"/>
      <c r="B118" s="11"/>
      <c r="C118" s="11"/>
      <c r="D118" s="11"/>
      <c r="E118" s="11"/>
      <c r="F118" s="11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 spans="1:26">
      <c r="A119" s="11"/>
      <c r="B119" s="11"/>
      <c r="C119" s="11"/>
      <c r="D119" s="11"/>
      <c r="E119" s="11"/>
      <c r="F119" s="11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 spans="1:26">
      <c r="A120" s="11"/>
      <c r="B120" s="11"/>
      <c r="C120" s="11"/>
      <c r="D120" s="11"/>
      <c r="E120" s="11"/>
      <c r="F120" s="11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 spans="1:26">
      <c r="A121" s="11"/>
      <c r="B121" s="11"/>
      <c r="C121" s="11"/>
      <c r="D121" s="11"/>
      <c r="E121" s="11"/>
      <c r="F121" s="11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 spans="1:26">
      <c r="A122" s="11"/>
      <c r="B122" s="11"/>
      <c r="C122" s="11"/>
      <c r="D122" s="11"/>
      <c r="E122" s="11"/>
      <c r="F122" s="11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 spans="1:26">
      <c r="A123" s="11"/>
      <c r="B123" s="11"/>
      <c r="C123" s="11"/>
      <c r="D123" s="11"/>
      <c r="E123" s="11"/>
      <c r="F123" s="11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 spans="1:26">
      <c r="A124" s="11"/>
      <c r="B124" s="11"/>
      <c r="C124" s="11"/>
      <c r="D124" s="11"/>
      <c r="E124" s="11"/>
      <c r="F124" s="11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 spans="1:26">
      <c r="A125" s="11"/>
      <c r="B125" s="11"/>
      <c r="C125" s="11"/>
      <c r="D125" s="11"/>
      <c r="E125" s="11"/>
      <c r="F125" s="11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 spans="1:26">
      <c r="A126" s="11"/>
      <c r="B126" s="11"/>
      <c r="C126" s="11"/>
      <c r="D126" s="11"/>
      <c r="E126" s="11"/>
      <c r="F126" s="11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 spans="1:26">
      <c r="A127" s="11"/>
      <c r="B127" s="11"/>
      <c r="C127" s="11"/>
      <c r="D127" s="11"/>
      <c r="E127" s="11"/>
      <c r="F127" s="11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 spans="1:26">
      <c r="A128" s="11"/>
      <c r="B128" s="11"/>
      <c r="C128" s="11"/>
      <c r="D128" s="11"/>
      <c r="E128" s="11"/>
      <c r="F128" s="11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 spans="1:26">
      <c r="A129" s="11"/>
      <c r="B129" s="11"/>
      <c r="C129" s="11"/>
      <c r="D129" s="11"/>
      <c r="E129" s="11"/>
      <c r="F129" s="11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 spans="1:26">
      <c r="A130" s="11"/>
      <c r="B130" s="11"/>
      <c r="C130" s="11"/>
      <c r="D130" s="11"/>
      <c r="E130" s="11"/>
      <c r="F130" s="11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 spans="1:26">
      <c r="A131" s="11"/>
      <c r="B131" s="11"/>
      <c r="C131" s="11"/>
      <c r="D131" s="11"/>
      <c r="E131" s="11"/>
      <c r="F131" s="11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 spans="1:26">
      <c r="A132" s="11"/>
      <c r="B132" s="11"/>
      <c r="C132" s="11"/>
      <c r="D132" s="11"/>
      <c r="E132" s="11"/>
      <c r="F132" s="11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 spans="1:26">
      <c r="A133" s="11"/>
      <c r="B133" s="11"/>
      <c r="C133" s="11"/>
      <c r="D133" s="11"/>
      <c r="E133" s="11"/>
      <c r="F133" s="11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 spans="1:26">
      <c r="A134" s="11"/>
      <c r="B134" s="11"/>
      <c r="C134" s="11"/>
      <c r="D134" s="11"/>
      <c r="E134" s="11"/>
      <c r="F134" s="11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 spans="1:26">
      <c r="A135" s="11"/>
      <c r="B135" s="11"/>
      <c r="C135" s="11"/>
      <c r="D135" s="11"/>
      <c r="E135" s="11"/>
      <c r="F135" s="11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 spans="1:26">
      <c r="A136" s="11"/>
      <c r="B136" s="11"/>
      <c r="C136" s="11"/>
      <c r="D136" s="11"/>
      <c r="E136" s="11"/>
      <c r="F136" s="11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 spans="1:26">
      <c r="A137" s="11"/>
      <c r="B137" s="11"/>
      <c r="C137" s="11"/>
      <c r="D137" s="11"/>
      <c r="E137" s="11"/>
      <c r="F137" s="11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 spans="1:26">
      <c r="A138" s="11"/>
      <c r="B138" s="11"/>
      <c r="C138" s="11"/>
      <c r="D138" s="11"/>
      <c r="E138" s="11"/>
      <c r="F138" s="11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 spans="1:26">
      <c r="A139" s="11"/>
      <c r="B139" s="11"/>
      <c r="C139" s="11"/>
      <c r="D139" s="11"/>
      <c r="E139" s="11"/>
      <c r="F139" s="11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 spans="1:26">
      <c r="A140" s="11"/>
      <c r="B140" s="11"/>
      <c r="C140" s="11"/>
      <c r="D140" s="11"/>
      <c r="E140" s="11"/>
      <c r="F140" s="11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 spans="1:26">
      <c r="A141" s="11"/>
      <c r="B141" s="11"/>
      <c r="C141" s="11"/>
      <c r="D141" s="11"/>
      <c r="E141" s="11"/>
      <c r="F141" s="11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 spans="1:26">
      <c r="A142" s="11"/>
      <c r="B142" s="11"/>
      <c r="C142" s="11"/>
      <c r="D142" s="11"/>
      <c r="E142" s="11"/>
      <c r="F142" s="11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 spans="1:26">
      <c r="A143" s="11"/>
      <c r="B143" s="11"/>
      <c r="C143" s="11"/>
      <c r="D143" s="11"/>
      <c r="E143" s="11"/>
      <c r="F143" s="11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 spans="1:26">
      <c r="A144" s="11"/>
      <c r="B144" s="11"/>
      <c r="C144" s="11"/>
      <c r="D144" s="11"/>
      <c r="E144" s="11"/>
      <c r="F144" s="11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 spans="1:26">
      <c r="A145" s="11"/>
      <c r="B145" s="11"/>
      <c r="C145" s="11"/>
      <c r="D145" s="11"/>
      <c r="E145" s="11"/>
      <c r="F145" s="11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 spans="1:26">
      <c r="A146" s="11"/>
      <c r="B146" s="11"/>
      <c r="C146" s="11"/>
      <c r="D146" s="11"/>
      <c r="E146" s="11"/>
      <c r="F146" s="11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 spans="1:26">
      <c r="A147" s="11"/>
      <c r="B147" s="11"/>
      <c r="C147" s="11"/>
      <c r="D147" s="11"/>
      <c r="E147" s="11"/>
      <c r="F147" s="11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 spans="1:26">
      <c r="A148" s="11"/>
      <c r="B148" s="11"/>
      <c r="C148" s="11"/>
      <c r="D148" s="11"/>
      <c r="E148" s="11"/>
      <c r="F148" s="11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 spans="1:26">
      <c r="A149" s="11"/>
      <c r="B149" s="11"/>
      <c r="C149" s="11"/>
      <c r="D149" s="11"/>
      <c r="E149" s="11"/>
      <c r="F149" s="11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 spans="1:26">
      <c r="A150" s="11"/>
      <c r="B150" s="11"/>
      <c r="C150" s="11"/>
      <c r="D150" s="11"/>
      <c r="E150" s="11"/>
      <c r="F150" s="11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 spans="1:26">
      <c r="A151" s="11"/>
      <c r="B151" s="11"/>
      <c r="C151" s="11"/>
      <c r="D151" s="11"/>
      <c r="E151" s="11"/>
      <c r="F151" s="11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 spans="1:26">
      <c r="A152" s="11"/>
      <c r="B152" s="11"/>
      <c r="C152" s="11"/>
      <c r="D152" s="11"/>
      <c r="E152" s="11"/>
      <c r="F152" s="11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 spans="1:26">
      <c r="A153" s="11"/>
      <c r="B153" s="11"/>
      <c r="C153" s="11"/>
      <c r="D153" s="11"/>
      <c r="E153" s="11"/>
      <c r="F153" s="11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 spans="1:26">
      <c r="A154" s="11"/>
      <c r="B154" s="11"/>
      <c r="C154" s="11"/>
      <c r="D154" s="11"/>
      <c r="E154" s="11"/>
      <c r="F154" s="11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 spans="1:26">
      <c r="A155" s="11"/>
      <c r="B155" s="11"/>
      <c r="C155" s="11"/>
      <c r="D155" s="11"/>
      <c r="E155" s="11"/>
      <c r="F155" s="11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 spans="1:26">
      <c r="A156" s="11"/>
      <c r="B156" s="11"/>
      <c r="C156" s="11"/>
      <c r="D156" s="11"/>
      <c r="E156" s="11"/>
      <c r="F156" s="11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 spans="1:26">
      <c r="A157" s="11"/>
      <c r="B157" s="11"/>
      <c r="C157" s="11"/>
      <c r="D157" s="11"/>
      <c r="E157" s="11"/>
      <c r="F157" s="11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 spans="1:26">
      <c r="A158" s="11"/>
      <c r="B158" s="11"/>
      <c r="C158" s="11"/>
      <c r="D158" s="11"/>
      <c r="E158" s="11"/>
      <c r="F158" s="11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 spans="1:26">
      <c r="A159" s="11"/>
      <c r="B159" s="11"/>
      <c r="C159" s="11"/>
      <c r="D159" s="11"/>
      <c r="E159" s="11"/>
      <c r="F159" s="11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 spans="1:26">
      <c r="A160" s="11"/>
      <c r="B160" s="11"/>
      <c r="C160" s="11"/>
      <c r="D160" s="11"/>
      <c r="E160" s="11"/>
      <c r="F160" s="11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 spans="1:26">
      <c r="A161" s="11"/>
      <c r="B161" s="11"/>
      <c r="C161" s="11"/>
      <c r="D161" s="11"/>
      <c r="E161" s="11"/>
      <c r="F161" s="11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 spans="1:26">
      <c r="A162" s="11"/>
      <c r="B162" s="11"/>
      <c r="C162" s="11"/>
      <c r="D162" s="11"/>
      <c r="E162" s="11"/>
      <c r="F162" s="11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 spans="1:26">
      <c r="A163" s="11"/>
      <c r="B163" s="11"/>
      <c r="C163" s="11"/>
      <c r="D163" s="11"/>
      <c r="E163" s="11"/>
      <c r="F163" s="11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 spans="1:26">
      <c r="A164" s="11"/>
      <c r="B164" s="11"/>
      <c r="C164" s="11"/>
      <c r="D164" s="11"/>
      <c r="E164" s="11"/>
      <c r="F164" s="11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 spans="1:26">
      <c r="A165" s="11"/>
      <c r="B165" s="11"/>
      <c r="C165" s="11"/>
      <c r="D165" s="11"/>
      <c r="E165" s="11"/>
      <c r="F165" s="11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 spans="1:26">
      <c r="A166" s="11"/>
      <c r="B166" s="11"/>
      <c r="C166" s="11"/>
      <c r="D166" s="11"/>
      <c r="E166" s="11"/>
      <c r="F166" s="11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 spans="1:26">
      <c r="A167" s="11"/>
      <c r="B167" s="11"/>
      <c r="C167" s="11"/>
      <c r="D167" s="11"/>
      <c r="E167" s="11"/>
      <c r="F167" s="11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 spans="1:26">
      <c r="A168" s="11"/>
      <c r="B168" s="11"/>
      <c r="C168" s="11"/>
      <c r="D168" s="11"/>
      <c r="E168" s="11"/>
      <c r="F168" s="11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 spans="1:26">
      <c r="A169" s="11"/>
      <c r="B169" s="11"/>
      <c r="C169" s="11"/>
      <c r="D169" s="11"/>
      <c r="E169" s="11"/>
      <c r="F169" s="11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 spans="1:26">
      <c r="A170" s="11"/>
      <c r="B170" s="11"/>
      <c r="C170" s="11"/>
      <c r="D170" s="11"/>
      <c r="E170" s="11"/>
      <c r="F170" s="11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 spans="1:26">
      <c r="A171" s="11"/>
      <c r="B171" s="11"/>
      <c r="C171" s="11"/>
      <c r="D171" s="11"/>
      <c r="E171" s="11"/>
      <c r="F171" s="11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 spans="1:26">
      <c r="A172" s="11"/>
      <c r="B172" s="11"/>
      <c r="C172" s="11"/>
      <c r="D172" s="11"/>
      <c r="E172" s="11"/>
      <c r="F172" s="11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 spans="1:26">
      <c r="A173" s="11"/>
      <c r="B173" s="11"/>
      <c r="C173" s="11"/>
      <c r="D173" s="11"/>
      <c r="E173" s="11"/>
      <c r="F173" s="11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 spans="1:26">
      <c r="A174" s="11"/>
      <c r="B174" s="11"/>
      <c r="C174" s="11"/>
      <c r="D174" s="11"/>
      <c r="E174" s="11"/>
      <c r="F174" s="11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 spans="1:26">
      <c r="A175" s="11"/>
      <c r="B175" s="11"/>
      <c r="C175" s="11"/>
      <c r="D175" s="11"/>
      <c r="E175" s="11"/>
      <c r="F175" s="11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 spans="1:26">
      <c r="A176" s="11"/>
      <c r="B176" s="11"/>
      <c r="C176" s="11"/>
      <c r="D176" s="11"/>
      <c r="E176" s="11"/>
      <c r="F176" s="11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 spans="1:26">
      <c r="A177" s="11"/>
      <c r="B177" s="11"/>
      <c r="C177" s="11"/>
      <c r="D177" s="11"/>
      <c r="E177" s="11"/>
      <c r="F177" s="11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 spans="1:26">
      <c r="A178" s="11"/>
      <c r="B178" s="11"/>
      <c r="C178" s="11"/>
      <c r="D178" s="11"/>
      <c r="E178" s="11"/>
      <c r="F178" s="11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 spans="1:26">
      <c r="A179" s="11"/>
      <c r="B179" s="11"/>
      <c r="C179" s="11"/>
      <c r="D179" s="11"/>
      <c r="E179" s="11"/>
      <c r="F179" s="11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 spans="1:26">
      <c r="A180" s="11"/>
      <c r="B180" s="11"/>
      <c r="C180" s="11"/>
      <c r="D180" s="11"/>
      <c r="E180" s="11"/>
      <c r="F180" s="11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 spans="1:26">
      <c r="A181" s="11"/>
      <c r="B181" s="11"/>
      <c r="C181" s="11"/>
      <c r="D181" s="11"/>
      <c r="E181" s="11"/>
      <c r="F181" s="11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 spans="1:26">
      <c r="A182" s="11"/>
      <c r="B182" s="11"/>
      <c r="C182" s="11"/>
      <c r="D182" s="11"/>
      <c r="E182" s="11"/>
      <c r="F182" s="11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 spans="1:26">
      <c r="A183" s="11"/>
      <c r="B183" s="11"/>
      <c r="C183" s="11"/>
      <c r="D183" s="11"/>
      <c r="E183" s="11"/>
      <c r="F183" s="11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 spans="1:26">
      <c r="A184" s="11"/>
      <c r="B184" s="11"/>
      <c r="C184" s="11"/>
      <c r="D184" s="11"/>
      <c r="E184" s="11"/>
      <c r="F184" s="11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 spans="1:26">
      <c r="A185" s="11"/>
      <c r="B185" s="11"/>
      <c r="C185" s="11"/>
      <c r="D185" s="11"/>
      <c r="E185" s="11"/>
      <c r="F185" s="11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 spans="1:26">
      <c r="A186" s="11"/>
      <c r="B186" s="11"/>
      <c r="C186" s="11"/>
      <c r="D186" s="11"/>
      <c r="E186" s="11"/>
      <c r="F186" s="11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 spans="1:26">
      <c r="A187" s="11"/>
      <c r="B187" s="11"/>
      <c r="C187" s="11"/>
      <c r="D187" s="11"/>
      <c r="E187" s="11"/>
      <c r="F187" s="11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 spans="1:26">
      <c r="A188" s="11"/>
      <c r="B188" s="11"/>
      <c r="C188" s="11"/>
      <c r="D188" s="11"/>
      <c r="E188" s="11"/>
      <c r="F188" s="11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 spans="1:26">
      <c r="A189" s="11"/>
      <c r="B189" s="11"/>
      <c r="C189" s="11"/>
      <c r="D189" s="11"/>
      <c r="E189" s="11"/>
      <c r="F189" s="11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 spans="1:26">
      <c r="A190" s="11"/>
      <c r="B190" s="11"/>
      <c r="C190" s="11"/>
      <c r="D190" s="11"/>
      <c r="E190" s="11"/>
      <c r="F190" s="11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 spans="1:26">
      <c r="A191" s="11"/>
      <c r="B191" s="11"/>
      <c r="C191" s="11"/>
      <c r="D191" s="11"/>
      <c r="E191" s="11"/>
      <c r="F191" s="11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 spans="1:26">
      <c r="A192" s="11"/>
      <c r="B192" s="11"/>
      <c r="C192" s="11"/>
      <c r="D192" s="11"/>
      <c r="E192" s="11"/>
      <c r="F192" s="11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 spans="1:26">
      <c r="A193" s="11"/>
      <c r="B193" s="11"/>
      <c r="C193" s="11"/>
      <c r="D193" s="11"/>
      <c r="E193" s="11"/>
      <c r="F193" s="11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 spans="1:26">
      <c r="A194" s="11"/>
      <c r="B194" s="11"/>
      <c r="C194" s="11"/>
      <c r="D194" s="11"/>
      <c r="E194" s="11"/>
      <c r="F194" s="11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 spans="1:26">
      <c r="A195" s="11"/>
      <c r="B195" s="11"/>
      <c r="C195" s="11"/>
      <c r="D195" s="11"/>
      <c r="E195" s="11"/>
      <c r="F195" s="11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 spans="1:26">
      <c r="A196" s="11"/>
      <c r="B196" s="11"/>
      <c r="C196" s="11"/>
      <c r="D196" s="11"/>
      <c r="E196" s="11"/>
      <c r="F196" s="11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 spans="1:26">
      <c r="A197" s="11"/>
      <c r="B197" s="11"/>
      <c r="C197" s="11"/>
      <c r="D197" s="11"/>
      <c r="E197" s="11"/>
      <c r="F197" s="11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 spans="1:26">
      <c r="A198" s="11"/>
      <c r="B198" s="11"/>
      <c r="C198" s="11"/>
      <c r="D198" s="11"/>
      <c r="E198" s="11"/>
      <c r="F198" s="11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 spans="1:26">
      <c r="A199" s="11"/>
      <c r="B199" s="11"/>
      <c r="C199" s="11"/>
      <c r="D199" s="11"/>
      <c r="E199" s="11"/>
      <c r="F199" s="11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 spans="1:26">
      <c r="A200" s="11"/>
      <c r="B200" s="11"/>
      <c r="C200" s="11"/>
      <c r="D200" s="11"/>
      <c r="E200" s="11"/>
      <c r="F200" s="11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 spans="1:26">
      <c r="A201" s="11"/>
      <c r="B201" s="11"/>
      <c r="C201" s="11"/>
      <c r="D201" s="11"/>
      <c r="E201" s="11"/>
      <c r="F201" s="11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 spans="1:26">
      <c r="A202" s="11"/>
      <c r="B202" s="11"/>
      <c r="C202" s="11"/>
      <c r="D202" s="11"/>
      <c r="E202" s="11"/>
      <c r="F202" s="11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 spans="1:26">
      <c r="A203" s="11"/>
      <c r="B203" s="11"/>
      <c r="C203" s="11"/>
      <c r="D203" s="11"/>
      <c r="E203" s="11"/>
      <c r="F203" s="11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 spans="1:26">
      <c r="A204" s="11"/>
      <c r="B204" s="11"/>
      <c r="C204" s="11"/>
      <c r="D204" s="11"/>
      <c r="E204" s="11"/>
      <c r="F204" s="11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 spans="1:26">
      <c r="A205" s="11"/>
      <c r="B205" s="11"/>
      <c r="C205" s="11"/>
      <c r="D205" s="11"/>
      <c r="E205" s="11"/>
      <c r="F205" s="11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 spans="1:26">
      <c r="A206" s="11"/>
      <c r="B206" s="11"/>
      <c r="C206" s="11"/>
      <c r="D206" s="11"/>
      <c r="E206" s="11"/>
      <c r="F206" s="11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 spans="1:26">
      <c r="A207" s="11"/>
      <c r="B207" s="11"/>
      <c r="C207" s="11"/>
      <c r="D207" s="11"/>
      <c r="E207" s="11"/>
      <c r="F207" s="11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 spans="1:26">
      <c r="A208" s="11"/>
      <c r="B208" s="11"/>
      <c r="C208" s="11"/>
      <c r="D208" s="11"/>
      <c r="E208" s="11"/>
      <c r="F208" s="11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 spans="1:26">
      <c r="A209" s="11"/>
      <c r="B209" s="11"/>
      <c r="C209" s="11"/>
      <c r="D209" s="11"/>
      <c r="E209" s="11"/>
      <c r="F209" s="11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 spans="1:26">
      <c r="A210" s="11"/>
      <c r="B210" s="11"/>
      <c r="C210" s="11"/>
      <c r="D210" s="11"/>
      <c r="E210" s="11"/>
      <c r="F210" s="11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 spans="1:26">
      <c r="A211" s="11"/>
      <c r="B211" s="11"/>
      <c r="C211" s="11"/>
      <c r="D211" s="11"/>
      <c r="E211" s="11"/>
      <c r="F211" s="11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 spans="1:26">
      <c r="A212" s="11"/>
      <c r="B212" s="11"/>
      <c r="C212" s="11"/>
      <c r="D212" s="11"/>
      <c r="E212" s="11"/>
      <c r="F212" s="11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 spans="1:26">
      <c r="A213" s="11"/>
      <c r="B213" s="11"/>
      <c r="C213" s="11"/>
      <c r="D213" s="11"/>
      <c r="E213" s="11"/>
      <c r="F213" s="11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 spans="1:26">
      <c r="A214" s="11"/>
      <c r="B214" s="11"/>
      <c r="C214" s="11"/>
      <c r="D214" s="11"/>
      <c r="E214" s="11"/>
      <c r="F214" s="11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 spans="1:26">
      <c r="A215" s="11"/>
      <c r="B215" s="11"/>
      <c r="C215" s="11"/>
      <c r="D215" s="11"/>
      <c r="E215" s="11"/>
      <c r="F215" s="11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 spans="1:26">
      <c r="A216" s="11"/>
      <c r="B216" s="11"/>
      <c r="C216" s="11"/>
      <c r="D216" s="11"/>
      <c r="E216" s="11"/>
      <c r="F216" s="11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 spans="1:26">
      <c r="A217" s="11"/>
      <c r="B217" s="11"/>
      <c r="C217" s="11"/>
      <c r="D217" s="11"/>
      <c r="E217" s="11"/>
      <c r="F217" s="11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 spans="1:26">
      <c r="A218" s="11"/>
      <c r="B218" s="11"/>
      <c r="C218" s="11"/>
      <c r="D218" s="11"/>
      <c r="E218" s="11"/>
      <c r="F218" s="11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 spans="1:26">
      <c r="A219" s="11"/>
      <c r="B219" s="11"/>
      <c r="C219" s="11"/>
      <c r="D219" s="11"/>
      <c r="E219" s="11"/>
      <c r="F219" s="11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 spans="1:26">
      <c r="A220" s="11"/>
      <c r="B220" s="11"/>
      <c r="C220" s="11"/>
      <c r="D220" s="11"/>
      <c r="E220" s="11"/>
      <c r="F220" s="11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 spans="1:26">
      <c r="A221" s="11"/>
      <c r="B221" s="11"/>
      <c r="C221" s="11"/>
      <c r="D221" s="11"/>
      <c r="E221" s="11"/>
      <c r="F221" s="11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 spans="1:26">
      <c r="A222" s="11"/>
      <c r="B222" s="11"/>
      <c r="C222" s="11"/>
      <c r="D222" s="11"/>
      <c r="E222" s="11"/>
      <c r="F222" s="11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 spans="1:26">
      <c r="A223" s="11"/>
      <c r="B223" s="11"/>
      <c r="C223" s="11"/>
      <c r="D223" s="11"/>
      <c r="E223" s="11"/>
      <c r="F223" s="11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 spans="1:26">
      <c r="A224" s="11"/>
      <c r="B224" s="11"/>
      <c r="C224" s="11"/>
      <c r="D224" s="11"/>
      <c r="E224" s="11"/>
      <c r="F224" s="11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 spans="1:26">
      <c r="A225" s="11"/>
      <c r="B225" s="11"/>
      <c r="C225" s="11"/>
      <c r="D225" s="11"/>
      <c r="E225" s="11"/>
      <c r="F225" s="11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 spans="1:26">
      <c r="A226" s="11"/>
      <c r="B226" s="11"/>
      <c r="C226" s="11"/>
      <c r="D226" s="11"/>
      <c r="E226" s="11"/>
      <c r="F226" s="11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 spans="1:26">
      <c r="A227" s="11"/>
      <c r="B227" s="11"/>
      <c r="C227" s="11"/>
      <c r="D227" s="11"/>
      <c r="E227" s="11"/>
      <c r="F227" s="11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 spans="1:26">
      <c r="A228" s="11"/>
      <c r="B228" s="11"/>
      <c r="C228" s="11"/>
      <c r="D228" s="11"/>
      <c r="E228" s="11"/>
      <c r="F228" s="11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 spans="1:26">
      <c r="A229" s="11"/>
      <c r="B229" s="11"/>
      <c r="C229" s="11"/>
      <c r="D229" s="11"/>
      <c r="E229" s="11"/>
      <c r="F229" s="11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 spans="1:26">
      <c r="A230" s="11"/>
      <c r="B230" s="11"/>
      <c r="C230" s="11"/>
      <c r="D230" s="11"/>
      <c r="E230" s="11"/>
      <c r="F230" s="11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 spans="1:26">
      <c r="A231" s="11"/>
      <c r="B231" s="11"/>
      <c r="C231" s="11"/>
      <c r="D231" s="11"/>
      <c r="E231" s="11"/>
      <c r="F231" s="11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 spans="1:26">
      <c r="A232" s="11"/>
      <c r="B232" s="11"/>
      <c r="C232" s="11"/>
      <c r="D232" s="11"/>
      <c r="E232" s="11"/>
      <c r="F232" s="11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 spans="1:26">
      <c r="A233" s="11"/>
      <c r="B233" s="11"/>
      <c r="C233" s="11"/>
      <c r="D233" s="11"/>
      <c r="E233" s="11"/>
      <c r="F233" s="11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 spans="1:26">
      <c r="A234" s="11"/>
      <c r="B234" s="11"/>
      <c r="C234" s="11"/>
      <c r="D234" s="11"/>
      <c r="E234" s="11"/>
      <c r="F234" s="11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 spans="1:26">
      <c r="A235" s="11"/>
      <c r="B235" s="11"/>
      <c r="C235" s="11"/>
      <c r="D235" s="11"/>
      <c r="E235" s="11"/>
      <c r="F235" s="11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 spans="1:26">
      <c r="A236" s="11"/>
      <c r="B236" s="11"/>
      <c r="C236" s="11"/>
      <c r="D236" s="11"/>
      <c r="E236" s="11"/>
      <c r="F236" s="11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 spans="1:26">
      <c r="A237" s="11"/>
      <c r="B237" s="11"/>
      <c r="C237" s="11"/>
      <c r="D237" s="11"/>
      <c r="E237" s="11"/>
      <c r="F237" s="11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 spans="1:26">
      <c r="A238" s="11"/>
      <c r="B238" s="11"/>
      <c r="C238" s="11"/>
      <c r="D238" s="11"/>
      <c r="E238" s="11"/>
      <c r="F238" s="11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 spans="1:26">
      <c r="A239" s="11"/>
      <c r="B239" s="11"/>
      <c r="C239" s="11"/>
      <c r="D239" s="11"/>
      <c r="E239" s="11"/>
      <c r="F239" s="11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 spans="1:26">
      <c r="A240" s="11"/>
      <c r="B240" s="11"/>
      <c r="C240" s="11"/>
      <c r="D240" s="11"/>
      <c r="E240" s="11"/>
      <c r="F240" s="11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 spans="1:26">
      <c r="A241" s="11"/>
      <c r="B241" s="11"/>
      <c r="C241" s="11"/>
      <c r="D241" s="11"/>
      <c r="E241" s="11"/>
      <c r="F241" s="11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 spans="1:26">
      <c r="A242" s="11"/>
      <c r="B242" s="11"/>
      <c r="C242" s="11"/>
      <c r="D242" s="11"/>
      <c r="E242" s="11"/>
      <c r="F242" s="11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 spans="1:26">
      <c r="A243" s="11"/>
      <c r="B243" s="11"/>
      <c r="C243" s="11"/>
      <c r="D243" s="11"/>
      <c r="E243" s="11"/>
      <c r="F243" s="11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 spans="1:26">
      <c r="A244" s="11"/>
      <c r="B244" s="11"/>
      <c r="C244" s="11"/>
      <c r="D244" s="11"/>
      <c r="E244" s="11"/>
      <c r="F244" s="11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 spans="1:26">
      <c r="A245" s="11"/>
      <c r="B245" s="11"/>
      <c r="C245" s="11"/>
      <c r="D245" s="11"/>
      <c r="E245" s="11"/>
      <c r="F245" s="11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 spans="1:26">
      <c r="A246" s="11"/>
      <c r="B246" s="11"/>
      <c r="C246" s="11"/>
      <c r="D246" s="11"/>
      <c r="E246" s="11"/>
      <c r="F246" s="11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 spans="1:26">
      <c r="A247" s="11"/>
      <c r="B247" s="11"/>
      <c r="C247" s="11"/>
      <c r="D247" s="11"/>
      <c r="E247" s="11"/>
      <c r="F247" s="11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 spans="1:26">
      <c r="A248" s="11"/>
      <c r="B248" s="11"/>
      <c r="C248" s="11"/>
      <c r="D248" s="11"/>
      <c r="E248" s="11"/>
      <c r="F248" s="11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 spans="1:26">
      <c r="A249" s="11"/>
      <c r="B249" s="11"/>
      <c r="C249" s="11"/>
      <c r="D249" s="11"/>
      <c r="E249" s="11"/>
      <c r="F249" s="11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 spans="1:26">
      <c r="A250" s="11"/>
      <c r="B250" s="11"/>
      <c r="C250" s="11"/>
      <c r="D250" s="11"/>
      <c r="E250" s="11"/>
      <c r="F250" s="11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 spans="1:26">
      <c r="A251" s="11"/>
      <c r="B251" s="11"/>
      <c r="C251" s="11"/>
      <c r="D251" s="11"/>
      <c r="E251" s="11"/>
      <c r="F251" s="11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 spans="1:26">
      <c r="A252" s="11"/>
      <c r="B252" s="11"/>
      <c r="C252" s="11"/>
      <c r="D252" s="11"/>
      <c r="E252" s="11"/>
      <c r="F252" s="11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 spans="1:26">
      <c r="A253" s="11"/>
      <c r="B253" s="11"/>
      <c r="C253" s="11"/>
      <c r="D253" s="11"/>
      <c r="E253" s="11"/>
      <c r="F253" s="11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 spans="1:26">
      <c r="A254" s="11"/>
      <c r="B254" s="11"/>
      <c r="C254" s="11"/>
      <c r="D254" s="11"/>
      <c r="E254" s="11"/>
      <c r="F254" s="11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 spans="1:26">
      <c r="A255" s="11"/>
      <c r="B255" s="11"/>
      <c r="C255" s="11"/>
      <c r="D255" s="11"/>
      <c r="E255" s="11"/>
      <c r="F255" s="11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 spans="1:26">
      <c r="A256" s="11"/>
      <c r="B256" s="11"/>
      <c r="C256" s="11"/>
      <c r="D256" s="11"/>
      <c r="E256" s="11"/>
      <c r="F256" s="11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 spans="1:26">
      <c r="A257" s="11"/>
      <c r="B257" s="11"/>
      <c r="C257" s="11"/>
      <c r="D257" s="11"/>
      <c r="E257" s="11"/>
      <c r="F257" s="11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 spans="1:26">
      <c r="A258" s="11"/>
      <c r="B258" s="11"/>
      <c r="C258" s="11"/>
      <c r="D258" s="11"/>
      <c r="E258" s="11"/>
      <c r="F258" s="11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 spans="1:26">
      <c r="A259" s="11"/>
      <c r="B259" s="11"/>
      <c r="C259" s="11"/>
      <c r="D259" s="11"/>
      <c r="E259" s="11"/>
      <c r="F259" s="11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 spans="1:26">
      <c r="A260" s="11"/>
      <c r="B260" s="11"/>
      <c r="C260" s="11"/>
      <c r="D260" s="11"/>
      <c r="E260" s="11"/>
      <c r="F260" s="11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 spans="1:26">
      <c r="A261" s="11"/>
      <c r="B261" s="11"/>
      <c r="C261" s="11"/>
      <c r="D261" s="11"/>
      <c r="E261" s="11"/>
      <c r="F261" s="11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 spans="1:26">
      <c r="A262" s="11"/>
      <c r="B262" s="11"/>
      <c r="C262" s="11"/>
      <c r="D262" s="11"/>
      <c r="E262" s="11"/>
      <c r="F262" s="11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 spans="1:26">
      <c r="A263" s="11"/>
      <c r="B263" s="11"/>
      <c r="C263" s="11"/>
      <c r="D263" s="11"/>
      <c r="E263" s="11"/>
      <c r="F263" s="11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 spans="1:26">
      <c r="A264" s="11"/>
      <c r="B264" s="11"/>
      <c r="C264" s="11"/>
      <c r="D264" s="11"/>
      <c r="E264" s="11"/>
      <c r="F264" s="11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 spans="1:26">
      <c r="A265" s="11"/>
      <c r="B265" s="11"/>
      <c r="C265" s="11"/>
      <c r="D265" s="11"/>
      <c r="E265" s="11"/>
      <c r="F265" s="11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 spans="1:26">
      <c r="A266" s="11"/>
      <c r="B266" s="11"/>
      <c r="C266" s="11"/>
      <c r="D266" s="11"/>
      <c r="E266" s="11"/>
      <c r="F266" s="11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 spans="1:26">
      <c r="A267" s="11"/>
      <c r="B267" s="11"/>
      <c r="C267" s="11"/>
      <c r="D267" s="11"/>
      <c r="E267" s="11"/>
      <c r="F267" s="11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 spans="1:26">
      <c r="A268" s="11"/>
      <c r="B268" s="11"/>
      <c r="C268" s="11"/>
      <c r="D268" s="11"/>
      <c r="E268" s="11"/>
      <c r="F268" s="11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 spans="1:26">
      <c r="A269" s="11"/>
      <c r="B269" s="11"/>
      <c r="C269" s="11"/>
      <c r="D269" s="11"/>
      <c r="E269" s="11"/>
      <c r="F269" s="11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 spans="1:26">
      <c r="A270" s="11"/>
      <c r="B270" s="11"/>
      <c r="C270" s="11"/>
      <c r="D270" s="11"/>
      <c r="E270" s="11"/>
      <c r="F270" s="11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 spans="1:26">
      <c r="A271" s="11"/>
      <c r="B271" s="11"/>
      <c r="C271" s="11"/>
      <c r="D271" s="11"/>
      <c r="E271" s="11"/>
      <c r="F271" s="11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 spans="1:26">
      <c r="A272" s="11"/>
      <c r="B272" s="11"/>
      <c r="C272" s="11"/>
      <c r="D272" s="11"/>
      <c r="E272" s="11"/>
      <c r="F272" s="11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 spans="1:26">
      <c r="A273" s="11"/>
      <c r="B273" s="11"/>
      <c r="C273" s="11"/>
      <c r="D273" s="11"/>
      <c r="E273" s="11"/>
      <c r="F273" s="11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 spans="1:26">
      <c r="A274" s="11"/>
      <c r="B274" s="11"/>
      <c r="C274" s="11"/>
      <c r="D274" s="11"/>
      <c r="E274" s="11"/>
      <c r="F274" s="11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 spans="1:26">
      <c r="A275" s="11"/>
      <c r="B275" s="11"/>
      <c r="C275" s="11"/>
      <c r="D275" s="11"/>
      <c r="E275" s="11"/>
      <c r="F275" s="11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 spans="1:26">
      <c r="A276" s="11"/>
      <c r="B276" s="11"/>
      <c r="C276" s="11"/>
      <c r="D276" s="11"/>
      <c r="E276" s="11"/>
      <c r="F276" s="11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 spans="1:26">
      <c r="A277" s="11"/>
      <c r="B277" s="11"/>
      <c r="C277" s="11"/>
      <c r="D277" s="11"/>
      <c r="E277" s="11"/>
      <c r="F277" s="11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 spans="1:26">
      <c r="A278" s="11"/>
      <c r="B278" s="11"/>
      <c r="C278" s="11"/>
      <c r="D278" s="11"/>
      <c r="E278" s="11"/>
      <c r="F278" s="11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 spans="1:26">
      <c r="A279" s="11"/>
      <c r="B279" s="11"/>
      <c r="C279" s="11"/>
      <c r="D279" s="11"/>
      <c r="E279" s="11"/>
      <c r="F279" s="11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 spans="1:26">
      <c r="A280" s="11"/>
      <c r="B280" s="11"/>
      <c r="C280" s="11"/>
      <c r="D280" s="11"/>
      <c r="E280" s="11"/>
      <c r="F280" s="11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 spans="1:26">
      <c r="A281" s="11"/>
      <c r="B281" s="11"/>
      <c r="C281" s="11"/>
      <c r="D281" s="11"/>
      <c r="E281" s="11"/>
      <c r="F281" s="11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 spans="1:26">
      <c r="A282" s="11"/>
      <c r="B282" s="11"/>
      <c r="C282" s="11"/>
      <c r="D282" s="11"/>
      <c r="E282" s="11"/>
      <c r="F282" s="11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 spans="1:26">
      <c r="A283" s="11"/>
      <c r="B283" s="11"/>
      <c r="C283" s="11"/>
      <c r="D283" s="11"/>
      <c r="E283" s="11"/>
      <c r="F283" s="11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 spans="1:26">
      <c r="A284" s="11"/>
      <c r="B284" s="11"/>
      <c r="C284" s="11"/>
      <c r="D284" s="11"/>
      <c r="E284" s="11"/>
      <c r="F284" s="11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 spans="1:26">
      <c r="A285" s="11"/>
      <c r="B285" s="11"/>
      <c r="C285" s="11"/>
      <c r="D285" s="11"/>
      <c r="E285" s="11"/>
      <c r="F285" s="11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 spans="1:26">
      <c r="A286" s="11"/>
      <c r="B286" s="11"/>
      <c r="C286" s="11"/>
      <c r="D286" s="11"/>
      <c r="E286" s="11"/>
      <c r="F286" s="11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 spans="1:26">
      <c r="A287" s="11"/>
      <c r="B287" s="11"/>
      <c r="C287" s="11"/>
      <c r="D287" s="11"/>
      <c r="E287" s="11"/>
      <c r="F287" s="11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 spans="1:26">
      <c r="A288" s="11"/>
      <c r="B288" s="11"/>
      <c r="C288" s="11"/>
      <c r="D288" s="11"/>
      <c r="E288" s="11"/>
      <c r="F288" s="11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 spans="1:26">
      <c r="A289" s="11"/>
      <c r="B289" s="11"/>
      <c r="C289" s="11"/>
      <c r="D289" s="11"/>
      <c r="E289" s="11"/>
      <c r="F289" s="11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 spans="1:26">
      <c r="A290" s="11"/>
      <c r="B290" s="11"/>
      <c r="C290" s="11"/>
      <c r="D290" s="11"/>
      <c r="E290" s="11"/>
      <c r="F290" s="11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 spans="1:26">
      <c r="A291" s="11"/>
      <c r="B291" s="11"/>
      <c r="C291" s="11"/>
      <c r="D291" s="11"/>
      <c r="E291" s="11"/>
      <c r="F291" s="11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 spans="1:26">
      <c r="A292" s="11"/>
      <c r="B292" s="11"/>
      <c r="C292" s="11"/>
      <c r="D292" s="11"/>
      <c r="E292" s="11"/>
      <c r="F292" s="11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 spans="1:26">
      <c r="A293" s="11"/>
      <c r="B293" s="11"/>
      <c r="C293" s="11"/>
      <c r="D293" s="11"/>
      <c r="E293" s="11"/>
      <c r="F293" s="11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 spans="1:26">
      <c r="A294" s="11"/>
      <c r="B294" s="11"/>
      <c r="C294" s="11"/>
      <c r="D294" s="11"/>
      <c r="E294" s="11"/>
      <c r="F294" s="11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 spans="1:26">
      <c r="A295" s="11"/>
      <c r="B295" s="11"/>
      <c r="C295" s="11"/>
      <c r="D295" s="11"/>
      <c r="E295" s="11"/>
      <c r="F295" s="11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 spans="1:26">
      <c r="A296" s="11"/>
      <c r="B296" s="11"/>
      <c r="C296" s="11"/>
      <c r="D296" s="11"/>
      <c r="E296" s="11"/>
      <c r="F296" s="11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 spans="1:26">
      <c r="A297" s="11"/>
      <c r="B297" s="11"/>
      <c r="C297" s="11"/>
      <c r="D297" s="11"/>
      <c r="E297" s="11"/>
      <c r="F297" s="11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 spans="1:26">
      <c r="A298" s="11"/>
      <c r="B298" s="11"/>
      <c r="C298" s="11"/>
      <c r="D298" s="11"/>
      <c r="E298" s="11"/>
      <c r="F298" s="11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 spans="1:26">
      <c r="A299" s="11"/>
      <c r="B299" s="11"/>
      <c r="C299" s="11"/>
      <c r="D299" s="11"/>
      <c r="E299" s="11"/>
      <c r="F299" s="11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 spans="1:26">
      <c r="A300" s="11"/>
      <c r="B300" s="11"/>
      <c r="C300" s="11"/>
      <c r="D300" s="11"/>
      <c r="E300" s="11"/>
      <c r="F300" s="11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 spans="1:26">
      <c r="A301" s="11"/>
      <c r="B301" s="11"/>
      <c r="C301" s="11"/>
      <c r="D301" s="11"/>
      <c r="E301" s="11"/>
      <c r="F301" s="11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 spans="1:26">
      <c r="A302" s="11"/>
      <c r="B302" s="11"/>
      <c r="C302" s="11"/>
      <c r="D302" s="11"/>
      <c r="E302" s="11"/>
      <c r="F302" s="11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 spans="1:26">
      <c r="A303" s="11"/>
      <c r="B303" s="11"/>
      <c r="C303" s="11"/>
      <c r="D303" s="11"/>
      <c r="E303" s="11"/>
      <c r="F303" s="11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 spans="1:26">
      <c r="A304" s="11"/>
      <c r="B304" s="11"/>
      <c r="C304" s="11"/>
      <c r="D304" s="11"/>
      <c r="E304" s="11"/>
      <c r="F304" s="11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 spans="1:26">
      <c r="A305" s="11"/>
      <c r="B305" s="11"/>
      <c r="C305" s="11"/>
      <c r="D305" s="11"/>
      <c r="E305" s="11"/>
      <c r="F305" s="11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 spans="1:26">
      <c r="A306" s="11"/>
      <c r="B306" s="11"/>
      <c r="C306" s="11"/>
      <c r="D306" s="11"/>
      <c r="E306" s="11"/>
      <c r="F306" s="11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 spans="1:26">
      <c r="A307" s="11"/>
      <c r="B307" s="11"/>
      <c r="C307" s="11"/>
      <c r="D307" s="11"/>
      <c r="E307" s="11"/>
      <c r="F307" s="11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 spans="1:26">
      <c r="A308" s="11"/>
      <c r="B308" s="11"/>
      <c r="C308" s="11"/>
      <c r="D308" s="11"/>
      <c r="E308" s="11"/>
      <c r="F308" s="11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 spans="1:26">
      <c r="A309" s="11"/>
      <c r="B309" s="11"/>
      <c r="C309" s="11"/>
      <c r="D309" s="11"/>
      <c r="E309" s="11"/>
      <c r="F309" s="11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 spans="1:26">
      <c r="A310" s="11"/>
      <c r="B310" s="11"/>
      <c r="C310" s="11"/>
      <c r="D310" s="11"/>
      <c r="E310" s="11"/>
      <c r="F310" s="11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 spans="1:26">
      <c r="A311" s="11"/>
      <c r="B311" s="11"/>
      <c r="C311" s="11"/>
      <c r="D311" s="11"/>
      <c r="E311" s="11"/>
      <c r="F311" s="11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 spans="1:26">
      <c r="A312" s="11"/>
      <c r="B312" s="11"/>
      <c r="C312" s="11"/>
      <c r="D312" s="11"/>
      <c r="E312" s="11"/>
      <c r="F312" s="11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 spans="1:26">
      <c r="A313" s="11"/>
      <c r="B313" s="11"/>
      <c r="C313" s="11"/>
      <c r="D313" s="11"/>
      <c r="E313" s="11"/>
      <c r="F313" s="11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 spans="1:26">
      <c r="A314" s="11"/>
      <c r="B314" s="11"/>
      <c r="C314" s="11"/>
      <c r="D314" s="11"/>
      <c r="E314" s="11"/>
      <c r="F314" s="11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 spans="1:26">
      <c r="A315" s="11"/>
      <c r="B315" s="11"/>
      <c r="C315" s="11"/>
      <c r="D315" s="11"/>
      <c r="E315" s="11"/>
      <c r="F315" s="11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 spans="1:26">
      <c r="A316" s="11"/>
      <c r="B316" s="11"/>
      <c r="C316" s="11"/>
      <c r="D316" s="11"/>
      <c r="E316" s="11"/>
      <c r="F316" s="11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 spans="1:26">
      <c r="A317" s="11"/>
      <c r="B317" s="11"/>
      <c r="C317" s="11"/>
      <c r="D317" s="11"/>
      <c r="E317" s="11"/>
      <c r="F317" s="11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 spans="1:26">
      <c r="A318" s="11"/>
      <c r="B318" s="11"/>
      <c r="C318" s="11"/>
      <c r="D318" s="11"/>
      <c r="E318" s="11"/>
      <c r="F318" s="11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 spans="1:26">
      <c r="A319" s="11"/>
      <c r="B319" s="11"/>
      <c r="C319" s="11"/>
      <c r="D319" s="11"/>
      <c r="E319" s="11"/>
      <c r="F319" s="11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 spans="1:26">
      <c r="A320" s="11"/>
      <c r="B320" s="11"/>
      <c r="C320" s="11"/>
      <c r="D320" s="11"/>
      <c r="E320" s="11"/>
      <c r="F320" s="11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 spans="1:26">
      <c r="A321" s="11"/>
      <c r="B321" s="11"/>
      <c r="C321" s="11"/>
      <c r="D321" s="11"/>
      <c r="E321" s="11"/>
      <c r="F321" s="11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 spans="1:26">
      <c r="A322" s="11"/>
      <c r="B322" s="11"/>
      <c r="C322" s="11"/>
      <c r="D322" s="11"/>
      <c r="E322" s="11"/>
      <c r="F322" s="11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 spans="1:26">
      <c r="A323" s="11"/>
      <c r="B323" s="11"/>
      <c r="C323" s="11"/>
      <c r="D323" s="11"/>
      <c r="E323" s="11"/>
      <c r="F323" s="11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 spans="1:26">
      <c r="A324" s="11"/>
      <c r="B324" s="11"/>
      <c r="C324" s="11"/>
      <c r="D324" s="11"/>
      <c r="E324" s="11"/>
      <c r="F324" s="11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 spans="1:26">
      <c r="A325" s="11"/>
      <c r="B325" s="11"/>
      <c r="C325" s="11"/>
      <c r="D325" s="11"/>
      <c r="E325" s="11"/>
      <c r="F325" s="11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 spans="1:26">
      <c r="A326" s="11"/>
      <c r="B326" s="11"/>
      <c r="C326" s="11"/>
      <c r="D326" s="11"/>
      <c r="E326" s="11"/>
      <c r="F326" s="11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 spans="1:26">
      <c r="A327" s="11"/>
      <c r="B327" s="11"/>
      <c r="C327" s="11"/>
      <c r="D327" s="11"/>
      <c r="E327" s="11"/>
      <c r="F327" s="11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 spans="1:26">
      <c r="A328" s="11"/>
      <c r="B328" s="11"/>
      <c r="C328" s="11"/>
      <c r="D328" s="11"/>
      <c r="E328" s="11"/>
      <c r="F328" s="11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 spans="1:26">
      <c r="A329" s="11"/>
      <c r="B329" s="11"/>
      <c r="C329" s="11"/>
      <c r="D329" s="11"/>
      <c r="E329" s="11"/>
      <c r="F329" s="11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 spans="1:26">
      <c r="A330" s="11"/>
      <c r="B330" s="11"/>
      <c r="C330" s="11"/>
      <c r="D330" s="11"/>
      <c r="E330" s="11"/>
      <c r="F330" s="11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 spans="1:26">
      <c r="A331" s="11"/>
      <c r="B331" s="11"/>
      <c r="C331" s="11"/>
      <c r="D331" s="11"/>
      <c r="E331" s="11"/>
      <c r="F331" s="11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 spans="1:26">
      <c r="A332" s="11"/>
      <c r="B332" s="11"/>
      <c r="C332" s="11"/>
      <c r="D332" s="11"/>
      <c r="E332" s="11"/>
      <c r="F332" s="11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 spans="1:26">
      <c r="A333" s="11"/>
      <c r="B333" s="11"/>
      <c r="C333" s="11"/>
      <c r="D333" s="11"/>
      <c r="E333" s="11"/>
      <c r="F333" s="11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 spans="1:26">
      <c r="A334" s="11"/>
      <c r="B334" s="11"/>
      <c r="C334" s="11"/>
      <c r="D334" s="11"/>
      <c r="E334" s="11"/>
      <c r="F334" s="11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 spans="1:26">
      <c r="A335" s="11"/>
      <c r="B335" s="11"/>
      <c r="C335" s="11"/>
      <c r="D335" s="11"/>
      <c r="E335" s="11"/>
      <c r="F335" s="11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 spans="1:26">
      <c r="A336" s="11"/>
      <c r="B336" s="11"/>
      <c r="C336" s="11"/>
      <c r="D336" s="11"/>
      <c r="E336" s="11"/>
      <c r="F336" s="11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 spans="1:26">
      <c r="A337" s="11"/>
      <c r="B337" s="11"/>
      <c r="C337" s="11"/>
      <c r="D337" s="11"/>
      <c r="E337" s="11"/>
      <c r="F337" s="11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 spans="1:26">
      <c r="A338" s="11"/>
      <c r="B338" s="11"/>
      <c r="C338" s="11"/>
      <c r="D338" s="11"/>
      <c r="E338" s="11"/>
      <c r="F338" s="11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 spans="1:26">
      <c r="A339" s="11"/>
      <c r="B339" s="11"/>
      <c r="C339" s="11"/>
      <c r="D339" s="11"/>
      <c r="E339" s="11"/>
      <c r="F339" s="11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 spans="1:26">
      <c r="A340" s="11"/>
      <c r="B340" s="11"/>
      <c r="C340" s="11"/>
      <c r="D340" s="11"/>
      <c r="E340" s="11"/>
      <c r="F340" s="11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 spans="1:26">
      <c r="A341" s="11"/>
      <c r="B341" s="11"/>
      <c r="C341" s="11"/>
      <c r="D341" s="11"/>
      <c r="E341" s="11"/>
      <c r="F341" s="11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 spans="1:26">
      <c r="A342" s="11"/>
      <c r="B342" s="11"/>
      <c r="C342" s="11"/>
      <c r="D342" s="11"/>
      <c r="E342" s="11"/>
      <c r="F342" s="11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 spans="1:26">
      <c r="A343" s="11"/>
      <c r="B343" s="11"/>
      <c r="C343" s="11"/>
      <c r="D343" s="11"/>
      <c r="E343" s="11"/>
      <c r="F343" s="11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 spans="1:26">
      <c r="A344" s="11"/>
      <c r="B344" s="11"/>
      <c r="C344" s="11"/>
      <c r="D344" s="11"/>
      <c r="E344" s="11"/>
      <c r="F344" s="11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 spans="1:26">
      <c r="A345" s="11"/>
      <c r="B345" s="11"/>
      <c r="C345" s="11"/>
      <c r="D345" s="11"/>
      <c r="E345" s="11"/>
      <c r="F345" s="11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 spans="1:26">
      <c r="A346" s="11"/>
      <c r="B346" s="11"/>
      <c r="C346" s="11"/>
      <c r="D346" s="11"/>
      <c r="E346" s="11"/>
      <c r="F346" s="11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 spans="1:26">
      <c r="A347" s="11"/>
      <c r="B347" s="11"/>
      <c r="C347" s="11"/>
      <c r="D347" s="11"/>
      <c r="E347" s="11"/>
      <c r="F347" s="11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 spans="1:26">
      <c r="A348" s="11"/>
      <c r="B348" s="11"/>
      <c r="C348" s="11"/>
      <c r="D348" s="11"/>
      <c r="E348" s="11"/>
      <c r="F348" s="11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 spans="1:26">
      <c r="A349" s="11"/>
      <c r="B349" s="11"/>
      <c r="C349" s="11"/>
      <c r="D349" s="11"/>
      <c r="E349" s="11"/>
      <c r="F349" s="11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 spans="1:26">
      <c r="A350" s="11"/>
      <c r="B350" s="11"/>
      <c r="C350" s="11"/>
      <c r="D350" s="11"/>
      <c r="E350" s="11"/>
      <c r="F350" s="11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 spans="1:26">
      <c r="A351" s="11"/>
      <c r="B351" s="11"/>
      <c r="C351" s="11"/>
      <c r="D351" s="11"/>
      <c r="E351" s="11"/>
      <c r="F351" s="11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 spans="1:26">
      <c r="A352" s="11"/>
      <c r="B352" s="11"/>
      <c r="C352" s="11"/>
      <c r="D352" s="11"/>
      <c r="E352" s="11"/>
      <c r="F352" s="11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 spans="1:26">
      <c r="A353" s="11"/>
      <c r="B353" s="11"/>
      <c r="C353" s="11"/>
      <c r="D353" s="11"/>
      <c r="E353" s="11"/>
      <c r="F353" s="11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 spans="1:26">
      <c r="A354" s="11"/>
      <c r="B354" s="11"/>
      <c r="C354" s="11"/>
      <c r="D354" s="11"/>
      <c r="E354" s="11"/>
      <c r="F354" s="11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 spans="1:26">
      <c r="A355" s="11"/>
      <c r="B355" s="11"/>
      <c r="C355" s="11"/>
      <c r="D355" s="11"/>
      <c r="E355" s="11"/>
      <c r="F355" s="11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 spans="1:26">
      <c r="A356" s="11"/>
      <c r="B356" s="11"/>
      <c r="C356" s="11"/>
      <c r="D356" s="11"/>
      <c r="E356" s="11"/>
      <c r="F356" s="11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 spans="1:26">
      <c r="A357" s="11"/>
      <c r="B357" s="11"/>
      <c r="C357" s="11"/>
      <c r="D357" s="11"/>
      <c r="E357" s="11"/>
      <c r="F357" s="11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 spans="1:26">
      <c r="A358" s="11"/>
      <c r="B358" s="11"/>
      <c r="C358" s="11"/>
      <c r="D358" s="11"/>
      <c r="E358" s="11"/>
      <c r="F358" s="11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 spans="1:26">
      <c r="A359" s="11"/>
      <c r="B359" s="11"/>
      <c r="C359" s="11"/>
      <c r="D359" s="11"/>
      <c r="E359" s="11"/>
      <c r="F359" s="11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 spans="1:26">
      <c r="A360" s="11"/>
      <c r="B360" s="11"/>
      <c r="C360" s="11"/>
      <c r="D360" s="11"/>
      <c r="E360" s="11"/>
      <c r="F360" s="11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 spans="1:26">
      <c r="A361" s="11"/>
      <c r="B361" s="11"/>
      <c r="C361" s="11"/>
      <c r="D361" s="11"/>
      <c r="E361" s="11"/>
      <c r="F361" s="11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 spans="1:26">
      <c r="A362" s="11"/>
      <c r="B362" s="11"/>
      <c r="C362" s="11"/>
      <c r="D362" s="11"/>
      <c r="E362" s="11"/>
      <c r="F362" s="11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 spans="1:26">
      <c r="A363" s="11"/>
      <c r="B363" s="11"/>
      <c r="C363" s="11"/>
      <c r="D363" s="11"/>
      <c r="E363" s="11"/>
      <c r="F363" s="11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 spans="1:26">
      <c r="A364" s="11"/>
      <c r="B364" s="11"/>
      <c r="C364" s="11"/>
      <c r="D364" s="11"/>
      <c r="E364" s="11"/>
      <c r="F364" s="11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 spans="1:26">
      <c r="A365" s="11"/>
      <c r="B365" s="11"/>
      <c r="C365" s="11"/>
      <c r="D365" s="11"/>
      <c r="E365" s="11"/>
      <c r="F365" s="11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 spans="1:26">
      <c r="A366" s="11"/>
      <c r="B366" s="11"/>
      <c r="C366" s="11"/>
      <c r="D366" s="11"/>
      <c r="E366" s="11"/>
      <c r="F366" s="11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 spans="1:26">
      <c r="A367" s="11"/>
      <c r="B367" s="11"/>
      <c r="C367" s="11"/>
      <c r="D367" s="11"/>
      <c r="E367" s="11"/>
      <c r="F367" s="11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 spans="1:26">
      <c r="A368" s="11"/>
      <c r="B368" s="11"/>
      <c r="C368" s="11"/>
      <c r="D368" s="11"/>
      <c r="E368" s="11"/>
      <c r="F368" s="11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 spans="1:26">
      <c r="A369" s="11"/>
      <c r="B369" s="11"/>
      <c r="C369" s="11"/>
      <c r="D369" s="11"/>
      <c r="E369" s="11"/>
      <c r="F369" s="11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 spans="1:26">
      <c r="A370" s="11"/>
      <c r="B370" s="11"/>
      <c r="C370" s="11"/>
      <c r="D370" s="11"/>
      <c r="E370" s="11"/>
      <c r="F370" s="11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 spans="1:26">
      <c r="A371" s="11"/>
      <c r="B371" s="11"/>
      <c r="C371" s="11"/>
      <c r="D371" s="11"/>
      <c r="E371" s="11"/>
      <c r="F371" s="11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 spans="1:26">
      <c r="A372" s="11"/>
      <c r="B372" s="11"/>
      <c r="C372" s="11"/>
      <c r="D372" s="11"/>
      <c r="E372" s="11"/>
      <c r="F372" s="11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 spans="1:26">
      <c r="A373" s="11"/>
      <c r="B373" s="11"/>
      <c r="C373" s="11"/>
      <c r="D373" s="11"/>
      <c r="E373" s="11"/>
      <c r="F373" s="11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 spans="1:26">
      <c r="A374" s="11"/>
      <c r="B374" s="11"/>
      <c r="C374" s="11"/>
      <c r="D374" s="11"/>
      <c r="E374" s="11"/>
      <c r="F374" s="11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 spans="1:26">
      <c r="A375" s="11"/>
      <c r="B375" s="11"/>
      <c r="C375" s="11"/>
      <c r="D375" s="11"/>
      <c r="E375" s="11"/>
      <c r="F375" s="11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 spans="1:26">
      <c r="A376" s="11"/>
      <c r="B376" s="11"/>
      <c r="C376" s="11"/>
      <c r="D376" s="11"/>
      <c r="E376" s="11"/>
      <c r="F376" s="11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 spans="1:26">
      <c r="A377" s="11"/>
      <c r="B377" s="11"/>
      <c r="C377" s="11"/>
      <c r="D377" s="11"/>
      <c r="E377" s="11"/>
      <c r="F377" s="11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 spans="1:26">
      <c r="A378" s="11"/>
      <c r="B378" s="11"/>
      <c r="C378" s="11"/>
      <c r="D378" s="11"/>
      <c r="E378" s="11"/>
      <c r="F378" s="11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 spans="1:26">
      <c r="A379" s="11"/>
      <c r="B379" s="11"/>
      <c r="C379" s="11"/>
      <c r="D379" s="11"/>
      <c r="E379" s="11"/>
      <c r="F379" s="11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 spans="1:26">
      <c r="A380" s="11"/>
      <c r="B380" s="11"/>
      <c r="C380" s="11"/>
      <c r="D380" s="11"/>
      <c r="E380" s="11"/>
      <c r="F380" s="11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 spans="1:26">
      <c r="A381" s="11"/>
      <c r="B381" s="11"/>
      <c r="C381" s="11"/>
      <c r="D381" s="11"/>
      <c r="E381" s="11"/>
      <c r="F381" s="11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 spans="1:26">
      <c r="A382" s="11"/>
      <c r="B382" s="11"/>
      <c r="C382" s="11"/>
      <c r="D382" s="11"/>
      <c r="E382" s="11"/>
      <c r="F382" s="11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 spans="1:26">
      <c r="A383" s="11"/>
      <c r="B383" s="11"/>
      <c r="C383" s="11"/>
      <c r="D383" s="11"/>
      <c r="E383" s="11"/>
      <c r="F383" s="11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 spans="1:26">
      <c r="A384" s="11"/>
      <c r="B384" s="11"/>
      <c r="C384" s="11"/>
      <c r="D384" s="11"/>
      <c r="E384" s="11"/>
      <c r="F384" s="11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 spans="1:26">
      <c r="A385" s="11"/>
      <c r="B385" s="11"/>
      <c r="C385" s="11"/>
      <c r="D385" s="11"/>
      <c r="E385" s="11"/>
      <c r="F385" s="11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 spans="1:26">
      <c r="A386" s="11"/>
      <c r="B386" s="11"/>
      <c r="C386" s="11"/>
      <c r="D386" s="11"/>
      <c r="E386" s="11"/>
      <c r="F386" s="11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 spans="1:26">
      <c r="A387" s="11"/>
      <c r="B387" s="11"/>
      <c r="C387" s="11"/>
      <c r="D387" s="11"/>
      <c r="E387" s="11"/>
      <c r="F387" s="11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 spans="1:26">
      <c r="A388" s="11"/>
      <c r="B388" s="11"/>
      <c r="C388" s="11"/>
      <c r="D388" s="11"/>
      <c r="E388" s="11"/>
      <c r="F388" s="11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 spans="1:26">
      <c r="A389" s="11"/>
      <c r="B389" s="11"/>
      <c r="C389" s="11"/>
      <c r="D389" s="11"/>
      <c r="E389" s="11"/>
      <c r="F389" s="11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 spans="1:26">
      <c r="A390" s="11"/>
      <c r="B390" s="11"/>
      <c r="C390" s="11"/>
      <c r="D390" s="11"/>
      <c r="E390" s="11"/>
      <c r="F390" s="11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 spans="1:26">
      <c r="A391" s="11"/>
      <c r="B391" s="11"/>
      <c r="C391" s="11"/>
      <c r="D391" s="11"/>
      <c r="E391" s="11"/>
      <c r="F391" s="11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 spans="1:26">
      <c r="A392" s="11"/>
      <c r="B392" s="11"/>
      <c r="C392" s="11"/>
      <c r="D392" s="11"/>
      <c r="E392" s="11"/>
      <c r="F392" s="11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 spans="1:26">
      <c r="A393" s="11"/>
      <c r="B393" s="11"/>
      <c r="C393" s="11"/>
      <c r="D393" s="11"/>
      <c r="E393" s="11"/>
      <c r="F393" s="11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 spans="1:26">
      <c r="A394" s="11"/>
      <c r="B394" s="11"/>
      <c r="C394" s="11"/>
      <c r="D394" s="11"/>
      <c r="E394" s="11"/>
      <c r="F394" s="11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 spans="1:26">
      <c r="A395" s="11"/>
      <c r="B395" s="11"/>
      <c r="C395" s="11"/>
      <c r="D395" s="11"/>
      <c r="E395" s="11"/>
      <c r="F395" s="11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 spans="1:26">
      <c r="A396" s="11"/>
      <c r="B396" s="11"/>
      <c r="C396" s="11"/>
      <c r="D396" s="11"/>
      <c r="E396" s="11"/>
      <c r="F396" s="11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 spans="1:26">
      <c r="A397" s="11"/>
      <c r="B397" s="11"/>
      <c r="C397" s="11"/>
      <c r="D397" s="11"/>
      <c r="E397" s="11"/>
      <c r="F397" s="11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 spans="1:26">
      <c r="A398" s="11"/>
      <c r="B398" s="11"/>
      <c r="C398" s="11"/>
      <c r="D398" s="11"/>
      <c r="E398" s="11"/>
      <c r="F398" s="11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 spans="1:26">
      <c r="A399" s="11"/>
      <c r="B399" s="11"/>
      <c r="C399" s="11"/>
      <c r="D399" s="11"/>
      <c r="E399" s="11"/>
      <c r="F399" s="11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 spans="1:26">
      <c r="A400" s="11"/>
      <c r="B400" s="11"/>
      <c r="C400" s="11"/>
      <c r="D400" s="11"/>
      <c r="E400" s="11"/>
      <c r="F400" s="11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 spans="1:26">
      <c r="A401" s="11"/>
      <c r="B401" s="11"/>
      <c r="C401" s="11"/>
      <c r="D401" s="11"/>
      <c r="E401" s="11"/>
      <c r="F401" s="11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 spans="1:26">
      <c r="A402" s="11"/>
      <c r="B402" s="11"/>
      <c r="C402" s="11"/>
      <c r="D402" s="11"/>
      <c r="E402" s="11"/>
      <c r="F402" s="11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 spans="1:26">
      <c r="A403" s="11"/>
      <c r="B403" s="11"/>
      <c r="C403" s="11"/>
      <c r="D403" s="11"/>
      <c r="E403" s="11"/>
      <c r="F403" s="11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 spans="1:26">
      <c r="A404" s="11"/>
      <c r="B404" s="11"/>
      <c r="C404" s="11"/>
      <c r="D404" s="11"/>
      <c r="E404" s="11"/>
      <c r="F404" s="11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 spans="1:26">
      <c r="A405" s="11"/>
      <c r="B405" s="11"/>
      <c r="C405" s="11"/>
      <c r="D405" s="11"/>
      <c r="E405" s="11"/>
      <c r="F405" s="11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 spans="1:26">
      <c r="A406" s="11"/>
      <c r="B406" s="11"/>
      <c r="C406" s="11"/>
      <c r="D406" s="11"/>
      <c r="E406" s="11"/>
      <c r="F406" s="11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 spans="1:26">
      <c r="A407" s="11"/>
      <c r="B407" s="11"/>
      <c r="C407" s="11"/>
      <c r="D407" s="11"/>
      <c r="E407" s="11"/>
      <c r="F407" s="11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 spans="1:26">
      <c r="A408" s="11"/>
      <c r="B408" s="11"/>
      <c r="C408" s="11"/>
      <c r="D408" s="11"/>
      <c r="E408" s="11"/>
      <c r="F408" s="11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 spans="1:26">
      <c r="A409" s="11"/>
      <c r="B409" s="11"/>
      <c r="C409" s="11"/>
      <c r="D409" s="11"/>
      <c r="E409" s="11"/>
      <c r="F409" s="11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 spans="1:26">
      <c r="A410" s="11"/>
      <c r="B410" s="11"/>
      <c r="C410" s="11"/>
      <c r="D410" s="11"/>
      <c r="E410" s="11"/>
      <c r="F410" s="11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 spans="1:26">
      <c r="A411" s="11"/>
      <c r="B411" s="11"/>
      <c r="C411" s="11"/>
      <c r="D411" s="11"/>
      <c r="E411" s="11"/>
      <c r="F411" s="11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 spans="1:26">
      <c r="A412" s="11"/>
      <c r="B412" s="11"/>
      <c r="C412" s="11"/>
      <c r="D412" s="11"/>
      <c r="E412" s="11"/>
      <c r="F412" s="11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 spans="1:26">
      <c r="A413" s="11"/>
      <c r="B413" s="11"/>
      <c r="C413" s="11"/>
      <c r="D413" s="11"/>
      <c r="E413" s="11"/>
      <c r="F413" s="11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 spans="1:26">
      <c r="A414" s="11"/>
      <c r="B414" s="11"/>
      <c r="C414" s="11"/>
      <c r="D414" s="11"/>
      <c r="E414" s="11"/>
      <c r="F414" s="11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 spans="1:26">
      <c r="A415" s="11"/>
      <c r="B415" s="11"/>
      <c r="C415" s="11"/>
      <c r="D415" s="11"/>
      <c r="E415" s="11"/>
      <c r="F415" s="11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 spans="1:26">
      <c r="A416" s="11"/>
      <c r="B416" s="11"/>
      <c r="C416" s="11"/>
      <c r="D416" s="11"/>
      <c r="E416" s="11"/>
      <c r="F416" s="11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 spans="1:26">
      <c r="A417" s="11"/>
      <c r="B417" s="11"/>
      <c r="C417" s="11"/>
      <c r="D417" s="11"/>
      <c r="E417" s="11"/>
      <c r="F417" s="11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 spans="1:26">
      <c r="A418" s="11"/>
      <c r="B418" s="11"/>
      <c r="C418" s="11"/>
      <c r="D418" s="11"/>
      <c r="E418" s="11"/>
      <c r="F418" s="11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 spans="1:26">
      <c r="A419" s="11"/>
      <c r="B419" s="11"/>
      <c r="C419" s="11"/>
      <c r="D419" s="11"/>
      <c r="E419" s="11"/>
      <c r="F419" s="11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 spans="1:26">
      <c r="A420" s="11"/>
      <c r="B420" s="11"/>
      <c r="C420" s="11"/>
      <c r="D420" s="11"/>
      <c r="E420" s="11"/>
      <c r="F420" s="11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 spans="1:26">
      <c r="A421" s="11"/>
      <c r="B421" s="11"/>
      <c r="C421" s="11"/>
      <c r="D421" s="11"/>
      <c r="E421" s="11"/>
      <c r="F421" s="11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 spans="1:26">
      <c r="A422" s="11"/>
      <c r="B422" s="11"/>
      <c r="C422" s="11"/>
      <c r="D422" s="11"/>
      <c r="E422" s="11"/>
      <c r="F422" s="11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 spans="1:26">
      <c r="A423" s="11"/>
      <c r="B423" s="11"/>
      <c r="C423" s="11"/>
      <c r="D423" s="11"/>
      <c r="E423" s="11"/>
      <c r="F423" s="11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 spans="1:26">
      <c r="A424" s="11"/>
      <c r="B424" s="11"/>
      <c r="C424" s="11"/>
      <c r="D424" s="11"/>
      <c r="E424" s="11"/>
      <c r="F424" s="11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 spans="1:26">
      <c r="A425" s="11"/>
      <c r="B425" s="11"/>
      <c r="C425" s="11"/>
      <c r="D425" s="11"/>
      <c r="E425" s="11"/>
      <c r="F425" s="11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 spans="1:26">
      <c r="A426" s="11"/>
      <c r="B426" s="11"/>
      <c r="C426" s="11"/>
      <c r="D426" s="11"/>
      <c r="E426" s="11"/>
      <c r="F426" s="11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 spans="1:26">
      <c r="A427" s="11"/>
      <c r="B427" s="11"/>
      <c r="C427" s="11"/>
      <c r="D427" s="11"/>
      <c r="E427" s="11"/>
      <c r="F427" s="11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 spans="1:26">
      <c r="A428" s="11"/>
      <c r="B428" s="11"/>
      <c r="C428" s="11"/>
      <c r="D428" s="11"/>
      <c r="E428" s="11"/>
      <c r="F428" s="11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 spans="1:26">
      <c r="A429" s="11"/>
      <c r="B429" s="11"/>
      <c r="C429" s="11"/>
      <c r="D429" s="11"/>
      <c r="E429" s="11"/>
      <c r="F429" s="11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 spans="1:26">
      <c r="A430" s="11"/>
      <c r="B430" s="11"/>
      <c r="C430" s="11"/>
      <c r="D430" s="11"/>
      <c r="E430" s="11"/>
      <c r="F430" s="11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 spans="1:26">
      <c r="A431" s="11"/>
      <c r="B431" s="11"/>
      <c r="C431" s="11"/>
      <c r="D431" s="11"/>
      <c r="E431" s="11"/>
      <c r="F431" s="11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 spans="1:26">
      <c r="A432" s="11"/>
      <c r="B432" s="11"/>
      <c r="C432" s="11"/>
      <c r="D432" s="11"/>
      <c r="E432" s="11"/>
      <c r="F432" s="11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 spans="1:26">
      <c r="A433" s="11"/>
      <c r="B433" s="11"/>
      <c r="C433" s="11"/>
      <c r="D433" s="11"/>
      <c r="E433" s="11"/>
      <c r="F433" s="11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 spans="1:26">
      <c r="A434" s="11"/>
      <c r="B434" s="11"/>
      <c r="C434" s="11"/>
      <c r="D434" s="11"/>
      <c r="E434" s="11"/>
      <c r="F434" s="11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 spans="1:26">
      <c r="A435" s="11"/>
      <c r="B435" s="11"/>
      <c r="C435" s="11"/>
      <c r="D435" s="11"/>
      <c r="E435" s="11"/>
      <c r="F435" s="11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 spans="1:26">
      <c r="A436" s="11"/>
      <c r="B436" s="11"/>
      <c r="C436" s="11"/>
      <c r="D436" s="11"/>
      <c r="E436" s="11"/>
      <c r="F436" s="11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 spans="1:26">
      <c r="A437" s="11"/>
      <c r="B437" s="11"/>
      <c r="C437" s="11"/>
      <c r="D437" s="11"/>
      <c r="E437" s="11"/>
      <c r="F437" s="11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 spans="1:26">
      <c r="A438" s="11"/>
      <c r="B438" s="11"/>
      <c r="C438" s="11"/>
      <c r="D438" s="11"/>
      <c r="E438" s="11"/>
      <c r="F438" s="11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 spans="1:26">
      <c r="A439" s="11"/>
      <c r="B439" s="11"/>
      <c r="C439" s="11"/>
      <c r="D439" s="11"/>
      <c r="E439" s="11"/>
      <c r="F439" s="11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 spans="1:26">
      <c r="A440" s="11"/>
      <c r="B440" s="11"/>
      <c r="C440" s="11"/>
      <c r="D440" s="11"/>
      <c r="E440" s="11"/>
      <c r="F440" s="11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 spans="1:26">
      <c r="A441" s="11"/>
      <c r="B441" s="11"/>
      <c r="C441" s="11"/>
      <c r="D441" s="11"/>
      <c r="E441" s="11"/>
      <c r="F441" s="11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 spans="1:26">
      <c r="A442" s="11"/>
      <c r="B442" s="11"/>
      <c r="C442" s="11"/>
      <c r="D442" s="11"/>
      <c r="E442" s="11"/>
      <c r="F442" s="11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 spans="1:26">
      <c r="A443" s="11"/>
      <c r="B443" s="11"/>
      <c r="C443" s="11"/>
      <c r="D443" s="11"/>
      <c r="E443" s="11"/>
      <c r="F443" s="11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 spans="1:26">
      <c r="A444" s="11"/>
      <c r="B444" s="11"/>
      <c r="C444" s="11"/>
      <c r="D444" s="11"/>
      <c r="E444" s="11"/>
      <c r="F444" s="11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 spans="1:26">
      <c r="A445" s="11"/>
      <c r="B445" s="11"/>
      <c r="C445" s="11"/>
      <c r="D445" s="11"/>
      <c r="E445" s="11"/>
      <c r="F445" s="11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 spans="1:26">
      <c r="A446" s="11"/>
      <c r="B446" s="11"/>
      <c r="C446" s="11"/>
      <c r="D446" s="11"/>
      <c r="E446" s="11"/>
      <c r="F446" s="11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 spans="1:26">
      <c r="A447" s="11"/>
      <c r="B447" s="11"/>
      <c r="C447" s="11"/>
      <c r="D447" s="11"/>
      <c r="E447" s="11"/>
      <c r="F447" s="11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 spans="1:26">
      <c r="A448" s="11"/>
      <c r="B448" s="11"/>
      <c r="C448" s="11"/>
      <c r="D448" s="11"/>
      <c r="E448" s="11"/>
      <c r="F448" s="11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 spans="1:26">
      <c r="A449" s="11"/>
      <c r="B449" s="11"/>
      <c r="C449" s="11"/>
      <c r="D449" s="11"/>
      <c r="E449" s="11"/>
      <c r="F449" s="11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 spans="1:26">
      <c r="A450" s="11"/>
      <c r="B450" s="11"/>
      <c r="C450" s="11"/>
      <c r="D450" s="11"/>
      <c r="E450" s="11"/>
      <c r="F450" s="11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 spans="1:26">
      <c r="A451" s="11"/>
      <c r="B451" s="11"/>
      <c r="C451" s="11"/>
      <c r="D451" s="11"/>
      <c r="E451" s="11"/>
      <c r="F451" s="11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 spans="1:26">
      <c r="A452" s="11"/>
      <c r="B452" s="11"/>
      <c r="C452" s="11"/>
      <c r="D452" s="11"/>
      <c r="E452" s="11"/>
      <c r="F452" s="11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 spans="1:26">
      <c r="A453" s="11"/>
      <c r="B453" s="11"/>
      <c r="C453" s="11"/>
      <c r="D453" s="11"/>
      <c r="E453" s="11"/>
      <c r="F453" s="11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 spans="1:26">
      <c r="A454" s="11"/>
      <c r="B454" s="11"/>
      <c r="C454" s="11"/>
      <c r="D454" s="11"/>
      <c r="E454" s="11"/>
      <c r="F454" s="11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 spans="1:26">
      <c r="A455" s="11"/>
      <c r="B455" s="11"/>
      <c r="C455" s="11"/>
      <c r="D455" s="11"/>
      <c r="E455" s="11"/>
      <c r="F455" s="11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 spans="1:26">
      <c r="A456" s="11"/>
      <c r="B456" s="11"/>
      <c r="C456" s="11"/>
      <c r="D456" s="11"/>
      <c r="E456" s="11"/>
      <c r="F456" s="11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 spans="1:26">
      <c r="A457" s="11"/>
      <c r="B457" s="11"/>
      <c r="C457" s="11"/>
      <c r="D457" s="11"/>
      <c r="E457" s="11"/>
      <c r="F457" s="11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 spans="1:26">
      <c r="A458" s="11"/>
      <c r="B458" s="11"/>
      <c r="C458" s="11"/>
      <c r="D458" s="11"/>
      <c r="E458" s="11"/>
      <c r="F458" s="11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 spans="1:26">
      <c r="A459" s="11"/>
      <c r="B459" s="11"/>
      <c r="C459" s="11"/>
      <c r="D459" s="11"/>
      <c r="E459" s="11"/>
      <c r="F459" s="11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 spans="1:26">
      <c r="A460" s="11"/>
      <c r="B460" s="11"/>
      <c r="C460" s="11"/>
      <c r="D460" s="11"/>
      <c r="E460" s="11"/>
      <c r="F460" s="11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 spans="1:26">
      <c r="A461" s="11"/>
      <c r="B461" s="11"/>
      <c r="C461" s="11"/>
      <c r="D461" s="11"/>
      <c r="E461" s="11"/>
      <c r="F461" s="11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 spans="1:26">
      <c r="A462" s="11"/>
      <c r="B462" s="11"/>
      <c r="C462" s="11"/>
      <c r="D462" s="11"/>
      <c r="E462" s="11"/>
      <c r="F462" s="11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 spans="1:26">
      <c r="A463" s="11"/>
      <c r="B463" s="11"/>
      <c r="C463" s="11"/>
      <c r="D463" s="11"/>
      <c r="E463" s="11"/>
      <c r="F463" s="11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 spans="1:26">
      <c r="A464" s="11"/>
      <c r="B464" s="11"/>
      <c r="C464" s="11"/>
      <c r="D464" s="11"/>
      <c r="E464" s="11"/>
      <c r="F464" s="11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 spans="1:26">
      <c r="A465" s="11"/>
      <c r="B465" s="11"/>
      <c r="C465" s="11"/>
      <c r="D465" s="11"/>
      <c r="E465" s="11"/>
      <c r="F465" s="11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 spans="1:26">
      <c r="A466" s="11"/>
      <c r="B466" s="11"/>
      <c r="C466" s="11"/>
      <c r="D466" s="11"/>
      <c r="E466" s="11"/>
      <c r="F466" s="11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 spans="1:26">
      <c r="A467" s="11"/>
      <c r="B467" s="11"/>
      <c r="C467" s="11"/>
      <c r="D467" s="11"/>
      <c r="E467" s="11"/>
      <c r="F467" s="11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 spans="1:26">
      <c r="A468" s="11"/>
      <c r="B468" s="11"/>
      <c r="C468" s="11"/>
      <c r="D468" s="11"/>
      <c r="E468" s="11"/>
      <c r="F468" s="11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 spans="1:26">
      <c r="A469" s="11"/>
      <c r="B469" s="11"/>
      <c r="C469" s="11"/>
      <c r="D469" s="11"/>
      <c r="E469" s="11"/>
      <c r="F469" s="11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 spans="1:26">
      <c r="A470" s="11"/>
      <c r="B470" s="11"/>
      <c r="C470" s="11"/>
      <c r="D470" s="11"/>
      <c r="E470" s="11"/>
      <c r="F470" s="11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 spans="1:26">
      <c r="A471" s="11"/>
      <c r="B471" s="11"/>
      <c r="C471" s="11"/>
      <c r="D471" s="11"/>
      <c r="E471" s="11"/>
      <c r="F471" s="11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 spans="1:26">
      <c r="A472" s="11"/>
      <c r="B472" s="11"/>
      <c r="C472" s="11"/>
      <c r="D472" s="11"/>
      <c r="E472" s="11"/>
      <c r="F472" s="11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 spans="1:26">
      <c r="A473" s="11"/>
      <c r="B473" s="11"/>
      <c r="C473" s="11"/>
      <c r="D473" s="11"/>
      <c r="E473" s="11"/>
      <c r="F473" s="11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 spans="1:26">
      <c r="A474" s="11"/>
      <c r="B474" s="11"/>
      <c r="C474" s="11"/>
      <c r="D474" s="11"/>
      <c r="E474" s="11"/>
      <c r="F474" s="11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 spans="1:26">
      <c r="A475" s="11"/>
      <c r="B475" s="11"/>
      <c r="C475" s="11"/>
      <c r="D475" s="11"/>
      <c r="E475" s="11"/>
      <c r="F475" s="11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 spans="1:26">
      <c r="A476" s="11"/>
      <c r="B476" s="11"/>
      <c r="C476" s="11"/>
      <c r="D476" s="11"/>
      <c r="E476" s="11"/>
      <c r="F476" s="11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 spans="1:26">
      <c r="A477" s="11"/>
      <c r="B477" s="11"/>
      <c r="C477" s="11"/>
      <c r="D477" s="11"/>
      <c r="E477" s="11"/>
      <c r="F477" s="11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 spans="1:26">
      <c r="A478" s="11"/>
      <c r="B478" s="11"/>
      <c r="C478" s="11"/>
      <c r="D478" s="11"/>
      <c r="E478" s="11"/>
      <c r="F478" s="11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 spans="1:26">
      <c r="A479" s="11"/>
      <c r="B479" s="11"/>
      <c r="C479" s="11"/>
      <c r="D479" s="11"/>
      <c r="E479" s="11"/>
      <c r="F479" s="11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 spans="1:26">
      <c r="A480" s="11"/>
      <c r="B480" s="11"/>
      <c r="C480" s="11"/>
      <c r="D480" s="11"/>
      <c r="E480" s="11"/>
      <c r="F480" s="11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 spans="1:26">
      <c r="A481" s="11"/>
      <c r="B481" s="11"/>
      <c r="C481" s="11"/>
      <c r="D481" s="11"/>
      <c r="E481" s="11"/>
      <c r="F481" s="11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 spans="1:26">
      <c r="A482" s="11"/>
      <c r="B482" s="11"/>
      <c r="C482" s="11"/>
      <c r="D482" s="11"/>
      <c r="E482" s="11"/>
      <c r="F482" s="11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 spans="1:26">
      <c r="A483" s="11"/>
      <c r="B483" s="11"/>
      <c r="C483" s="11"/>
      <c r="D483" s="11"/>
      <c r="E483" s="11"/>
      <c r="F483" s="11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 spans="1:26">
      <c r="A484" s="11"/>
      <c r="B484" s="11"/>
      <c r="C484" s="11"/>
      <c r="D484" s="11"/>
      <c r="E484" s="11"/>
      <c r="F484" s="11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 spans="1:26">
      <c r="A485" s="11"/>
      <c r="B485" s="11"/>
      <c r="C485" s="11"/>
      <c r="D485" s="11"/>
      <c r="E485" s="11"/>
      <c r="F485" s="11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 spans="1:26">
      <c r="A486" s="11"/>
      <c r="B486" s="11"/>
      <c r="C486" s="11"/>
      <c r="D486" s="11"/>
      <c r="E486" s="11"/>
      <c r="F486" s="11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 spans="1:26">
      <c r="A487" s="11"/>
      <c r="B487" s="11"/>
      <c r="C487" s="11"/>
      <c r="D487" s="11"/>
      <c r="E487" s="11"/>
      <c r="F487" s="11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 spans="1:26">
      <c r="A488" s="11"/>
      <c r="B488" s="11"/>
      <c r="C488" s="11"/>
      <c r="D488" s="11"/>
      <c r="E488" s="11"/>
      <c r="F488" s="11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 spans="1:26">
      <c r="A489" s="11"/>
      <c r="B489" s="11"/>
      <c r="C489" s="11"/>
      <c r="D489" s="11"/>
      <c r="E489" s="11"/>
      <c r="F489" s="11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 spans="1:26">
      <c r="A490" s="11"/>
      <c r="B490" s="11"/>
      <c r="C490" s="11"/>
      <c r="D490" s="11"/>
      <c r="E490" s="11"/>
      <c r="F490" s="11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 spans="1:26">
      <c r="A491" s="11"/>
      <c r="B491" s="11"/>
      <c r="C491" s="11"/>
      <c r="D491" s="11"/>
      <c r="E491" s="11"/>
      <c r="F491" s="11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 spans="1:26">
      <c r="A492" s="11"/>
      <c r="B492" s="11"/>
      <c r="C492" s="11"/>
      <c r="D492" s="11"/>
      <c r="E492" s="11"/>
      <c r="F492" s="11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 spans="1:26">
      <c r="A493" s="11"/>
      <c r="B493" s="11"/>
      <c r="C493" s="11"/>
      <c r="D493" s="11"/>
      <c r="E493" s="11"/>
      <c r="F493" s="11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 spans="1:26">
      <c r="A494" s="11"/>
      <c r="B494" s="11"/>
      <c r="C494" s="11"/>
      <c r="D494" s="11"/>
      <c r="E494" s="11"/>
      <c r="F494" s="11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 spans="1:26">
      <c r="A495" s="11"/>
      <c r="B495" s="11"/>
      <c r="C495" s="11"/>
      <c r="D495" s="11"/>
      <c r="E495" s="11"/>
      <c r="F495" s="11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 spans="1:26">
      <c r="A496" s="11"/>
      <c r="B496" s="11"/>
      <c r="C496" s="11"/>
      <c r="D496" s="11"/>
      <c r="E496" s="11"/>
      <c r="F496" s="11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 spans="1:26">
      <c r="A497" s="11"/>
      <c r="B497" s="11"/>
      <c r="C497" s="11"/>
      <c r="D497" s="11"/>
      <c r="E497" s="11"/>
      <c r="F497" s="11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 spans="1:26">
      <c r="A498" s="11"/>
      <c r="B498" s="11"/>
      <c r="C498" s="11"/>
      <c r="D498" s="11"/>
      <c r="E498" s="11"/>
      <c r="F498" s="11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 spans="1:26">
      <c r="A499" s="11"/>
      <c r="B499" s="11"/>
      <c r="C499" s="11"/>
      <c r="D499" s="11"/>
      <c r="E499" s="11"/>
      <c r="F499" s="11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 spans="1:26">
      <c r="A500" s="11"/>
      <c r="B500" s="11"/>
      <c r="C500" s="11"/>
      <c r="D500" s="11"/>
      <c r="E500" s="11"/>
      <c r="F500" s="11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 spans="1:26">
      <c r="A501" s="11"/>
      <c r="B501" s="11"/>
      <c r="C501" s="11"/>
      <c r="D501" s="11"/>
      <c r="E501" s="11"/>
      <c r="F501" s="11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 spans="1:26">
      <c r="A502" s="11"/>
      <c r="B502" s="11"/>
      <c r="C502" s="11"/>
      <c r="D502" s="11"/>
      <c r="E502" s="11"/>
      <c r="F502" s="11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 spans="1:26">
      <c r="A503" s="11"/>
      <c r="B503" s="11"/>
      <c r="C503" s="11"/>
      <c r="D503" s="11"/>
      <c r="E503" s="11"/>
      <c r="F503" s="11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 spans="1:26">
      <c r="A504" s="11"/>
      <c r="B504" s="11"/>
      <c r="C504" s="11"/>
      <c r="D504" s="11"/>
      <c r="E504" s="11"/>
      <c r="F504" s="11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 spans="1:26">
      <c r="A505" s="11"/>
      <c r="B505" s="11"/>
      <c r="C505" s="11"/>
      <c r="D505" s="11"/>
      <c r="E505" s="11"/>
      <c r="F505" s="11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 spans="1:26">
      <c r="A506" s="11"/>
      <c r="B506" s="11"/>
      <c r="C506" s="11"/>
      <c r="D506" s="11"/>
      <c r="E506" s="11"/>
      <c r="F506" s="11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 spans="1:26">
      <c r="A507" s="11"/>
      <c r="B507" s="11"/>
      <c r="C507" s="11"/>
      <c r="D507" s="11"/>
      <c r="E507" s="11"/>
      <c r="F507" s="11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 spans="1:26">
      <c r="A508" s="11"/>
      <c r="B508" s="11"/>
      <c r="C508" s="11"/>
      <c r="D508" s="11"/>
      <c r="E508" s="11"/>
      <c r="F508" s="11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 spans="1:26">
      <c r="A509" s="11"/>
      <c r="B509" s="11"/>
      <c r="C509" s="11"/>
      <c r="D509" s="11"/>
      <c r="E509" s="11"/>
      <c r="F509" s="11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 spans="1:26">
      <c r="A510" s="11"/>
      <c r="B510" s="11"/>
      <c r="C510" s="11"/>
      <c r="D510" s="11"/>
      <c r="E510" s="11"/>
      <c r="F510" s="11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 spans="1:26">
      <c r="A511" s="11"/>
      <c r="B511" s="11"/>
      <c r="C511" s="11"/>
      <c r="D511" s="11"/>
      <c r="E511" s="11"/>
      <c r="F511" s="11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 spans="1:26">
      <c r="A512" s="11"/>
      <c r="B512" s="11"/>
      <c r="C512" s="11"/>
      <c r="D512" s="11"/>
      <c r="E512" s="11"/>
      <c r="F512" s="11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 spans="1:26">
      <c r="A513" s="11"/>
      <c r="B513" s="11"/>
      <c r="C513" s="11"/>
      <c r="D513" s="11"/>
      <c r="E513" s="11"/>
      <c r="F513" s="11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 spans="1:26">
      <c r="A514" s="11"/>
      <c r="B514" s="11"/>
      <c r="C514" s="11"/>
      <c r="D514" s="11"/>
      <c r="E514" s="11"/>
      <c r="F514" s="11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 spans="1:26">
      <c r="A515" s="11"/>
      <c r="B515" s="11"/>
      <c r="C515" s="11"/>
      <c r="D515" s="11"/>
      <c r="E515" s="11"/>
      <c r="F515" s="11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 spans="1:26">
      <c r="A516" s="11"/>
      <c r="B516" s="11"/>
      <c r="C516" s="11"/>
      <c r="D516" s="11"/>
      <c r="E516" s="11"/>
      <c r="F516" s="11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 spans="1:26">
      <c r="A517" s="11"/>
      <c r="B517" s="11"/>
      <c r="C517" s="11"/>
      <c r="D517" s="11"/>
      <c r="E517" s="11"/>
      <c r="F517" s="11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 spans="1:26">
      <c r="A518" s="11"/>
      <c r="B518" s="11"/>
      <c r="C518" s="11"/>
      <c r="D518" s="11"/>
      <c r="E518" s="11"/>
      <c r="F518" s="11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 spans="1:26">
      <c r="A519" s="11"/>
      <c r="B519" s="11"/>
      <c r="C519" s="11"/>
      <c r="D519" s="11"/>
      <c r="E519" s="11"/>
      <c r="F519" s="11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 spans="1:26">
      <c r="A520" s="11"/>
      <c r="B520" s="11"/>
      <c r="C520" s="11"/>
      <c r="D520" s="11"/>
      <c r="E520" s="11"/>
      <c r="F520" s="11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 spans="1:26">
      <c r="A521" s="11"/>
      <c r="B521" s="11"/>
      <c r="C521" s="11"/>
      <c r="D521" s="11"/>
      <c r="E521" s="11"/>
      <c r="F521" s="11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 spans="1:26">
      <c r="A522" s="11"/>
      <c r="B522" s="11"/>
      <c r="C522" s="11"/>
      <c r="D522" s="11"/>
      <c r="E522" s="11"/>
      <c r="F522" s="11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 spans="1:26">
      <c r="A523" s="11"/>
      <c r="B523" s="11"/>
      <c r="C523" s="11"/>
      <c r="D523" s="11"/>
      <c r="E523" s="11"/>
      <c r="F523" s="11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 spans="1:26">
      <c r="A524" s="11"/>
      <c r="B524" s="11"/>
      <c r="C524" s="11"/>
      <c r="D524" s="11"/>
      <c r="E524" s="11"/>
      <c r="F524" s="11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 spans="1:26">
      <c r="A525" s="11"/>
      <c r="B525" s="11"/>
      <c r="C525" s="11"/>
      <c r="D525" s="11"/>
      <c r="E525" s="11"/>
      <c r="F525" s="11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 spans="1:26">
      <c r="A526" s="11"/>
      <c r="B526" s="11"/>
      <c r="C526" s="11"/>
      <c r="D526" s="11"/>
      <c r="E526" s="11"/>
      <c r="F526" s="11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 spans="1:26">
      <c r="A527" s="11"/>
      <c r="B527" s="11"/>
      <c r="C527" s="11"/>
      <c r="D527" s="11"/>
      <c r="E527" s="11"/>
      <c r="F527" s="11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 spans="1:26">
      <c r="A528" s="11"/>
      <c r="B528" s="11"/>
      <c r="C528" s="11"/>
      <c r="D528" s="11"/>
      <c r="E528" s="11"/>
      <c r="F528" s="11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 spans="1:26">
      <c r="A529" s="11"/>
      <c r="B529" s="11"/>
      <c r="C529" s="11"/>
      <c r="D529" s="11"/>
      <c r="E529" s="11"/>
      <c r="F529" s="11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 spans="1:26">
      <c r="A530" s="11"/>
      <c r="B530" s="11"/>
      <c r="C530" s="11"/>
      <c r="D530" s="11"/>
      <c r="E530" s="11"/>
      <c r="F530" s="11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 spans="1:26">
      <c r="A531" s="11"/>
      <c r="B531" s="11"/>
      <c r="C531" s="11"/>
      <c r="D531" s="11"/>
      <c r="E531" s="11"/>
      <c r="F531" s="11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 spans="1:26">
      <c r="A532" s="11"/>
      <c r="B532" s="11"/>
      <c r="C532" s="11"/>
      <c r="D532" s="11"/>
      <c r="E532" s="11"/>
      <c r="F532" s="11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 spans="1:26">
      <c r="A533" s="11"/>
      <c r="B533" s="11"/>
      <c r="C533" s="11"/>
      <c r="D533" s="11"/>
      <c r="E533" s="11"/>
      <c r="F533" s="11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 spans="1:26">
      <c r="A534" s="11"/>
      <c r="B534" s="11"/>
      <c r="C534" s="11"/>
      <c r="D534" s="11"/>
      <c r="E534" s="11"/>
      <c r="F534" s="11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 spans="1:26">
      <c r="A535" s="11"/>
      <c r="B535" s="11"/>
      <c r="C535" s="11"/>
      <c r="D535" s="11"/>
      <c r="E535" s="11"/>
      <c r="F535" s="11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 spans="1:26">
      <c r="A536" s="11"/>
      <c r="B536" s="11"/>
      <c r="C536" s="11"/>
      <c r="D536" s="11"/>
      <c r="E536" s="11"/>
      <c r="F536" s="11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 spans="1:26">
      <c r="A537" s="11"/>
      <c r="B537" s="11"/>
      <c r="C537" s="11"/>
      <c r="D537" s="11"/>
      <c r="E537" s="11"/>
      <c r="F537" s="11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 spans="1:26">
      <c r="A538" s="11"/>
      <c r="B538" s="11"/>
      <c r="C538" s="11"/>
      <c r="D538" s="11"/>
      <c r="E538" s="11"/>
      <c r="F538" s="11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 spans="1:26">
      <c r="A539" s="11"/>
      <c r="B539" s="11"/>
      <c r="C539" s="11"/>
      <c r="D539" s="11"/>
      <c r="E539" s="11"/>
      <c r="F539" s="11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 spans="1:26">
      <c r="A540" s="11"/>
      <c r="B540" s="11"/>
      <c r="C540" s="11"/>
      <c r="D540" s="11"/>
      <c r="E540" s="11"/>
      <c r="F540" s="11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 spans="1:26">
      <c r="A541" s="11"/>
      <c r="B541" s="11"/>
      <c r="C541" s="11"/>
      <c r="D541" s="11"/>
      <c r="E541" s="11"/>
      <c r="F541" s="11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 spans="1:26">
      <c r="A542" s="11"/>
      <c r="B542" s="11"/>
      <c r="C542" s="11"/>
      <c r="D542" s="11"/>
      <c r="E542" s="11"/>
      <c r="F542" s="11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 spans="1:26">
      <c r="A543" s="11"/>
      <c r="B543" s="11"/>
      <c r="C543" s="11"/>
      <c r="D543" s="11"/>
      <c r="E543" s="11"/>
      <c r="F543" s="11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 spans="1:26">
      <c r="A544" s="11"/>
      <c r="B544" s="11"/>
      <c r="C544" s="11"/>
      <c r="D544" s="11"/>
      <c r="E544" s="11"/>
      <c r="F544" s="11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 spans="1:26">
      <c r="A545" s="11"/>
      <c r="B545" s="11"/>
      <c r="C545" s="11"/>
      <c r="D545" s="11"/>
      <c r="E545" s="11"/>
      <c r="F545" s="11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 spans="1:26">
      <c r="A546" s="11"/>
      <c r="B546" s="11"/>
      <c r="C546" s="11"/>
      <c r="D546" s="11"/>
      <c r="E546" s="11"/>
      <c r="F546" s="11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 spans="1:26">
      <c r="A547" s="11"/>
      <c r="B547" s="11"/>
      <c r="C547" s="11"/>
      <c r="D547" s="11"/>
      <c r="E547" s="11"/>
      <c r="F547" s="11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 spans="1:26">
      <c r="A548" s="11"/>
      <c r="B548" s="11"/>
      <c r="C548" s="11"/>
      <c r="D548" s="11"/>
      <c r="E548" s="11"/>
      <c r="F548" s="11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 spans="1:26">
      <c r="A549" s="11"/>
      <c r="B549" s="11"/>
      <c r="C549" s="11"/>
      <c r="D549" s="11"/>
      <c r="E549" s="11"/>
      <c r="F549" s="11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 spans="1:26">
      <c r="A550" s="11"/>
      <c r="B550" s="11"/>
      <c r="C550" s="11"/>
      <c r="D550" s="11"/>
      <c r="E550" s="11"/>
      <c r="F550" s="11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 spans="1:26">
      <c r="A551" s="11"/>
      <c r="B551" s="11"/>
      <c r="C551" s="11"/>
      <c r="D551" s="11"/>
      <c r="E551" s="11"/>
      <c r="F551" s="11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 spans="1:26">
      <c r="A552" s="11"/>
      <c r="B552" s="11"/>
      <c r="C552" s="11"/>
      <c r="D552" s="11"/>
      <c r="E552" s="11"/>
      <c r="F552" s="11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 spans="1:26">
      <c r="A553" s="11"/>
      <c r="B553" s="11"/>
      <c r="C553" s="11"/>
      <c r="D553" s="11"/>
      <c r="E553" s="11"/>
      <c r="F553" s="11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 spans="1:26">
      <c r="A554" s="11"/>
      <c r="B554" s="11"/>
      <c r="C554" s="11"/>
      <c r="D554" s="11"/>
      <c r="E554" s="11"/>
      <c r="F554" s="11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 spans="1:26">
      <c r="A555" s="11"/>
      <c r="B555" s="11"/>
      <c r="C555" s="11"/>
      <c r="D555" s="11"/>
      <c r="E555" s="11"/>
      <c r="F555" s="11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 spans="1:26">
      <c r="A556" s="11"/>
      <c r="B556" s="11"/>
      <c r="C556" s="11"/>
      <c r="D556" s="11"/>
      <c r="E556" s="11"/>
      <c r="F556" s="11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 spans="1:26">
      <c r="A557" s="11"/>
      <c r="B557" s="11"/>
      <c r="C557" s="11"/>
      <c r="D557" s="11"/>
      <c r="E557" s="11"/>
      <c r="F557" s="11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 spans="1:26">
      <c r="A558" s="11"/>
      <c r="B558" s="11"/>
      <c r="C558" s="11"/>
      <c r="D558" s="11"/>
      <c r="E558" s="11"/>
      <c r="F558" s="11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 spans="1:26">
      <c r="A559" s="11"/>
      <c r="B559" s="11"/>
      <c r="C559" s="11"/>
      <c r="D559" s="11"/>
      <c r="E559" s="11"/>
      <c r="F559" s="11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 spans="1:26">
      <c r="A560" s="11"/>
      <c r="B560" s="11"/>
      <c r="C560" s="11"/>
      <c r="D560" s="11"/>
      <c r="E560" s="11"/>
      <c r="F560" s="11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 spans="1:26">
      <c r="A561" s="11"/>
      <c r="B561" s="11"/>
      <c r="C561" s="11"/>
      <c r="D561" s="11"/>
      <c r="E561" s="11"/>
      <c r="F561" s="11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 spans="1:26">
      <c r="A562" s="11"/>
      <c r="B562" s="11"/>
      <c r="C562" s="11"/>
      <c r="D562" s="11"/>
      <c r="E562" s="11"/>
      <c r="F562" s="11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 spans="1:26">
      <c r="A563" s="11"/>
      <c r="B563" s="11"/>
      <c r="C563" s="11"/>
      <c r="D563" s="11"/>
      <c r="E563" s="11"/>
      <c r="F563" s="11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 spans="1:26">
      <c r="A564" s="11"/>
      <c r="B564" s="11"/>
      <c r="C564" s="11"/>
      <c r="D564" s="11"/>
      <c r="E564" s="11"/>
      <c r="F564" s="11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 spans="1:26">
      <c r="A565" s="11"/>
      <c r="B565" s="11"/>
      <c r="C565" s="11"/>
      <c r="D565" s="11"/>
      <c r="E565" s="11"/>
      <c r="F565" s="11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 spans="1:26">
      <c r="A566" s="11"/>
      <c r="B566" s="11"/>
      <c r="C566" s="11"/>
      <c r="D566" s="11"/>
      <c r="E566" s="11"/>
      <c r="F566" s="11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 spans="1:26">
      <c r="A567" s="11"/>
      <c r="B567" s="11"/>
      <c r="C567" s="11"/>
      <c r="D567" s="11"/>
      <c r="E567" s="11"/>
      <c r="F567" s="11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 spans="1:26">
      <c r="A568" s="11"/>
      <c r="B568" s="11"/>
      <c r="C568" s="11"/>
      <c r="D568" s="11"/>
      <c r="E568" s="11"/>
      <c r="F568" s="11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 spans="1:26">
      <c r="A569" s="11"/>
      <c r="B569" s="11"/>
      <c r="C569" s="11"/>
      <c r="D569" s="11"/>
      <c r="E569" s="11"/>
      <c r="F569" s="11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 spans="1:26">
      <c r="A570" s="11"/>
      <c r="B570" s="11"/>
      <c r="C570" s="11"/>
      <c r="D570" s="11"/>
      <c r="E570" s="11"/>
      <c r="F570" s="11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 spans="1:26">
      <c r="A571" s="11"/>
      <c r="B571" s="11"/>
      <c r="C571" s="11"/>
      <c r="D571" s="11"/>
      <c r="E571" s="11"/>
      <c r="F571" s="11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 spans="1:26">
      <c r="A572" s="11"/>
      <c r="B572" s="11"/>
      <c r="C572" s="11"/>
      <c r="D572" s="11"/>
      <c r="E572" s="11"/>
      <c r="F572" s="11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 spans="1:26">
      <c r="A573" s="11"/>
      <c r="B573" s="11"/>
      <c r="C573" s="11"/>
      <c r="D573" s="11"/>
      <c r="E573" s="11"/>
      <c r="F573" s="11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 spans="1:26">
      <c r="A574" s="11"/>
      <c r="B574" s="11"/>
      <c r="C574" s="11"/>
      <c r="D574" s="11"/>
      <c r="E574" s="11"/>
      <c r="F574" s="11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 spans="1:26">
      <c r="A575" s="11"/>
      <c r="B575" s="11"/>
      <c r="C575" s="11"/>
      <c r="D575" s="11"/>
      <c r="E575" s="11"/>
      <c r="F575" s="11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 spans="1:26">
      <c r="A576" s="11"/>
      <c r="B576" s="11"/>
      <c r="C576" s="11"/>
      <c r="D576" s="11"/>
      <c r="E576" s="11"/>
      <c r="F576" s="11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 spans="1:26">
      <c r="A577" s="11"/>
      <c r="B577" s="11"/>
      <c r="C577" s="11"/>
      <c r="D577" s="11"/>
      <c r="E577" s="11"/>
      <c r="F577" s="11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 spans="1:26">
      <c r="A578" s="11"/>
      <c r="B578" s="11"/>
      <c r="C578" s="11"/>
      <c r="D578" s="11"/>
      <c r="E578" s="11"/>
      <c r="F578" s="11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 spans="1:26">
      <c r="A579" s="11"/>
      <c r="B579" s="11"/>
      <c r="C579" s="11"/>
      <c r="D579" s="11"/>
      <c r="E579" s="11"/>
      <c r="F579" s="11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 spans="1:26">
      <c r="A580" s="11"/>
      <c r="B580" s="11"/>
      <c r="C580" s="11"/>
      <c r="D580" s="11"/>
      <c r="E580" s="11"/>
      <c r="F580" s="11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 spans="1:26">
      <c r="A581" s="11"/>
      <c r="B581" s="11"/>
      <c r="C581" s="11"/>
      <c r="D581" s="11"/>
      <c r="E581" s="11"/>
      <c r="F581" s="11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 spans="1:26">
      <c r="A582" s="11"/>
      <c r="B582" s="11"/>
      <c r="C582" s="11"/>
      <c r="D582" s="11"/>
      <c r="E582" s="11"/>
      <c r="F582" s="11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 spans="1:26">
      <c r="A583" s="11"/>
      <c r="B583" s="11"/>
      <c r="C583" s="11"/>
      <c r="D583" s="11"/>
      <c r="E583" s="11"/>
      <c r="F583" s="11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 spans="1:26">
      <c r="A584" s="11"/>
      <c r="B584" s="11"/>
      <c r="C584" s="11"/>
      <c r="D584" s="11"/>
      <c r="E584" s="11"/>
      <c r="F584" s="11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 spans="1:26">
      <c r="A585" s="11"/>
      <c r="B585" s="11"/>
      <c r="C585" s="11"/>
      <c r="D585" s="11"/>
      <c r="E585" s="11"/>
      <c r="F585" s="11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 spans="1:26">
      <c r="A586" s="11"/>
      <c r="B586" s="11"/>
      <c r="C586" s="11"/>
      <c r="D586" s="11"/>
      <c r="E586" s="11"/>
      <c r="F586" s="11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 spans="1:26">
      <c r="A587" s="11"/>
      <c r="B587" s="11"/>
      <c r="C587" s="11"/>
      <c r="D587" s="11"/>
      <c r="E587" s="11"/>
      <c r="F587" s="11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 spans="1:26">
      <c r="A588" s="11"/>
      <c r="B588" s="11"/>
      <c r="C588" s="11"/>
      <c r="D588" s="11"/>
      <c r="E588" s="11"/>
      <c r="F588" s="11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 spans="1:26">
      <c r="A589" s="11"/>
      <c r="B589" s="11"/>
      <c r="C589" s="11"/>
      <c r="D589" s="11"/>
      <c r="E589" s="11"/>
      <c r="F589" s="11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 spans="1:26">
      <c r="A590" s="11"/>
      <c r="B590" s="11"/>
      <c r="C590" s="11"/>
      <c r="D590" s="11"/>
      <c r="E590" s="11"/>
      <c r="F590" s="11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 spans="1:26">
      <c r="A591" s="11"/>
      <c r="B591" s="11"/>
      <c r="C591" s="11"/>
      <c r="D591" s="11"/>
      <c r="E591" s="11"/>
      <c r="F591" s="11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 spans="1:26">
      <c r="A592" s="11"/>
      <c r="B592" s="11"/>
      <c r="C592" s="11"/>
      <c r="D592" s="11"/>
      <c r="E592" s="11"/>
      <c r="F592" s="11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 spans="1:26">
      <c r="A593" s="11"/>
      <c r="B593" s="11"/>
      <c r="C593" s="11"/>
      <c r="D593" s="11"/>
      <c r="E593" s="11"/>
      <c r="F593" s="11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 spans="1:26">
      <c r="A594" s="11"/>
      <c r="B594" s="11"/>
      <c r="C594" s="11"/>
      <c r="D594" s="11"/>
      <c r="E594" s="11"/>
      <c r="F594" s="11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 spans="1:26">
      <c r="A595" s="11"/>
      <c r="B595" s="11"/>
      <c r="C595" s="11"/>
      <c r="D595" s="11"/>
      <c r="E595" s="11"/>
      <c r="F595" s="11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 spans="1:26">
      <c r="A596" s="11"/>
      <c r="B596" s="11"/>
      <c r="C596" s="11"/>
      <c r="D596" s="11"/>
      <c r="E596" s="11"/>
      <c r="F596" s="11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 spans="1:26">
      <c r="A597" s="11"/>
      <c r="B597" s="11"/>
      <c r="C597" s="11"/>
      <c r="D597" s="11"/>
      <c r="E597" s="11"/>
      <c r="F597" s="11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 spans="1:26">
      <c r="A598" s="11"/>
      <c r="B598" s="11"/>
      <c r="C598" s="11"/>
      <c r="D598" s="11"/>
      <c r="E598" s="11"/>
      <c r="F598" s="11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 spans="1:26">
      <c r="A599" s="11"/>
      <c r="B599" s="11"/>
      <c r="C599" s="11"/>
      <c r="D599" s="11"/>
      <c r="E599" s="11"/>
      <c r="F599" s="11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 spans="1:26">
      <c r="A600" s="11"/>
      <c r="B600" s="11"/>
      <c r="C600" s="11"/>
      <c r="D600" s="11"/>
      <c r="E600" s="11"/>
      <c r="F600" s="11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 spans="1:26">
      <c r="A601" s="11"/>
      <c r="B601" s="11"/>
      <c r="C601" s="11"/>
      <c r="D601" s="11"/>
      <c r="E601" s="11"/>
      <c r="F601" s="11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 spans="1:26">
      <c r="A602" s="11"/>
      <c r="B602" s="11"/>
      <c r="C602" s="11"/>
      <c r="D602" s="11"/>
      <c r="E602" s="11"/>
      <c r="F602" s="11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 spans="1:26">
      <c r="A603" s="11"/>
      <c r="B603" s="11"/>
      <c r="C603" s="11"/>
      <c r="D603" s="11"/>
      <c r="E603" s="11"/>
      <c r="F603" s="11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 spans="1:26">
      <c r="A604" s="11"/>
      <c r="B604" s="11"/>
      <c r="C604" s="11"/>
      <c r="D604" s="11"/>
      <c r="E604" s="11"/>
      <c r="F604" s="11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 spans="1:26">
      <c r="A605" s="11"/>
      <c r="B605" s="11"/>
      <c r="C605" s="11"/>
      <c r="D605" s="11"/>
      <c r="E605" s="11"/>
      <c r="F605" s="11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 spans="1:26">
      <c r="A606" s="11"/>
      <c r="B606" s="11"/>
      <c r="C606" s="11"/>
      <c r="D606" s="11"/>
      <c r="E606" s="11"/>
      <c r="F606" s="11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 spans="1:26">
      <c r="A607" s="11"/>
      <c r="B607" s="11"/>
      <c r="C607" s="11"/>
      <c r="D607" s="11"/>
      <c r="E607" s="11"/>
      <c r="F607" s="11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 spans="1:26">
      <c r="A608" s="11"/>
      <c r="B608" s="11"/>
      <c r="C608" s="11"/>
      <c r="D608" s="11"/>
      <c r="E608" s="11"/>
      <c r="F608" s="11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 spans="1:26">
      <c r="A609" s="11"/>
      <c r="B609" s="11"/>
      <c r="C609" s="11"/>
      <c r="D609" s="11"/>
      <c r="E609" s="11"/>
      <c r="F609" s="11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 spans="1:26">
      <c r="A610" s="11"/>
      <c r="B610" s="11"/>
      <c r="C610" s="11"/>
      <c r="D610" s="11"/>
      <c r="E610" s="11"/>
      <c r="F610" s="11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 spans="1:26">
      <c r="A611" s="11"/>
      <c r="B611" s="11"/>
      <c r="C611" s="11"/>
      <c r="D611" s="11"/>
      <c r="E611" s="11"/>
      <c r="F611" s="11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 spans="1:26">
      <c r="A612" s="11"/>
      <c r="B612" s="11"/>
      <c r="C612" s="11"/>
      <c r="D612" s="11"/>
      <c r="E612" s="11"/>
      <c r="F612" s="11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 spans="1:26">
      <c r="A613" s="11"/>
      <c r="B613" s="11"/>
      <c r="C613" s="11"/>
      <c r="D613" s="11"/>
      <c r="E613" s="11"/>
      <c r="F613" s="11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 spans="1:26">
      <c r="A614" s="11"/>
      <c r="B614" s="11"/>
      <c r="C614" s="11"/>
      <c r="D614" s="11"/>
      <c r="E614" s="11"/>
      <c r="F614" s="11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 spans="1:26">
      <c r="A615" s="11"/>
      <c r="B615" s="11"/>
      <c r="C615" s="11"/>
      <c r="D615" s="11"/>
      <c r="E615" s="11"/>
      <c r="F615" s="11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 spans="1:26">
      <c r="A616" s="11"/>
      <c r="B616" s="11"/>
      <c r="C616" s="11"/>
      <c r="D616" s="11"/>
      <c r="E616" s="11"/>
      <c r="F616" s="11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 spans="1:26">
      <c r="A617" s="11"/>
      <c r="B617" s="11"/>
      <c r="C617" s="11"/>
      <c r="D617" s="11"/>
      <c r="E617" s="11"/>
      <c r="F617" s="11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 spans="1:26">
      <c r="A618" s="11"/>
      <c r="B618" s="11"/>
      <c r="C618" s="11"/>
      <c r="D618" s="11"/>
      <c r="E618" s="11"/>
      <c r="F618" s="11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 spans="1:26">
      <c r="A619" s="11"/>
      <c r="B619" s="11"/>
      <c r="C619" s="11"/>
      <c r="D619" s="11"/>
      <c r="E619" s="11"/>
      <c r="F619" s="11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 spans="1:26">
      <c r="A620" s="11"/>
      <c r="B620" s="11"/>
      <c r="C620" s="11"/>
      <c r="D620" s="11"/>
      <c r="E620" s="11"/>
      <c r="F620" s="11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 spans="1:26">
      <c r="A621" s="11"/>
      <c r="B621" s="11"/>
      <c r="C621" s="11"/>
      <c r="D621" s="11"/>
      <c r="E621" s="11"/>
      <c r="F621" s="11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 spans="1:26">
      <c r="A622" s="11"/>
      <c r="B622" s="11"/>
      <c r="C622" s="11"/>
      <c r="D622" s="11"/>
      <c r="E622" s="11"/>
      <c r="F622" s="11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 spans="1:26">
      <c r="A623" s="11"/>
      <c r="B623" s="11"/>
      <c r="C623" s="11"/>
      <c r="D623" s="11"/>
      <c r="E623" s="11"/>
      <c r="F623" s="11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 spans="1:26">
      <c r="A624" s="11"/>
      <c r="B624" s="11"/>
      <c r="C624" s="11"/>
      <c r="D624" s="11"/>
      <c r="E624" s="11"/>
      <c r="F624" s="11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 spans="1:26">
      <c r="A625" s="11"/>
      <c r="B625" s="11"/>
      <c r="C625" s="11"/>
      <c r="D625" s="11"/>
      <c r="E625" s="11"/>
      <c r="F625" s="11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 spans="1:26">
      <c r="A626" s="11"/>
      <c r="B626" s="11"/>
      <c r="C626" s="11"/>
      <c r="D626" s="11"/>
      <c r="E626" s="11"/>
      <c r="F626" s="11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 spans="1:26">
      <c r="A627" s="11"/>
      <c r="B627" s="11"/>
      <c r="C627" s="11"/>
      <c r="D627" s="11"/>
      <c r="E627" s="11"/>
      <c r="F627" s="11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 spans="1:26">
      <c r="A628" s="11"/>
      <c r="B628" s="11"/>
      <c r="C628" s="11"/>
      <c r="D628" s="11"/>
      <c r="E628" s="11"/>
      <c r="F628" s="11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 spans="1:26">
      <c r="A629" s="11"/>
      <c r="B629" s="11"/>
      <c r="C629" s="11"/>
      <c r="D629" s="11"/>
      <c r="E629" s="11"/>
      <c r="F629" s="11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 spans="1:26">
      <c r="A630" s="11"/>
      <c r="B630" s="11"/>
      <c r="C630" s="11"/>
      <c r="D630" s="11"/>
      <c r="E630" s="11"/>
      <c r="F630" s="11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 spans="1:26">
      <c r="A631" s="11"/>
      <c r="B631" s="11"/>
      <c r="C631" s="11"/>
      <c r="D631" s="11"/>
      <c r="E631" s="11"/>
      <c r="F631" s="11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 spans="1:26">
      <c r="A632" s="11"/>
      <c r="B632" s="11"/>
      <c r="C632" s="11"/>
      <c r="D632" s="11"/>
      <c r="E632" s="11"/>
      <c r="F632" s="11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 spans="1:26">
      <c r="A633" s="11"/>
      <c r="B633" s="11"/>
      <c r="C633" s="11"/>
      <c r="D633" s="11"/>
      <c r="E633" s="11"/>
      <c r="F633" s="11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 spans="1:26">
      <c r="A634" s="11"/>
      <c r="B634" s="11"/>
      <c r="C634" s="11"/>
      <c r="D634" s="11"/>
      <c r="E634" s="11"/>
      <c r="F634" s="11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 spans="1:26">
      <c r="A635" s="11"/>
      <c r="B635" s="11"/>
      <c r="C635" s="11"/>
      <c r="D635" s="11"/>
      <c r="E635" s="11"/>
      <c r="F635" s="11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 spans="1:26">
      <c r="A636" s="11"/>
      <c r="B636" s="11"/>
      <c r="C636" s="11"/>
      <c r="D636" s="11"/>
      <c r="E636" s="11"/>
      <c r="F636" s="11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 spans="1:26">
      <c r="A637" s="11"/>
      <c r="B637" s="11"/>
      <c r="C637" s="11"/>
      <c r="D637" s="11"/>
      <c r="E637" s="11"/>
      <c r="F637" s="11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 spans="1:26">
      <c r="A638" s="11"/>
      <c r="B638" s="11"/>
      <c r="C638" s="11"/>
      <c r="D638" s="11"/>
      <c r="E638" s="11"/>
      <c r="F638" s="11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 spans="1:26">
      <c r="A639" s="11"/>
      <c r="B639" s="11"/>
      <c r="C639" s="11"/>
      <c r="D639" s="11"/>
      <c r="E639" s="11"/>
      <c r="F639" s="11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 spans="1:26">
      <c r="A640" s="11"/>
      <c r="B640" s="11"/>
      <c r="C640" s="11"/>
      <c r="D640" s="11"/>
      <c r="E640" s="11"/>
      <c r="F640" s="11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 spans="1:26">
      <c r="A641" s="11"/>
      <c r="B641" s="11"/>
      <c r="C641" s="11"/>
      <c r="D641" s="11"/>
      <c r="E641" s="11"/>
      <c r="F641" s="11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 spans="1:26">
      <c r="A642" s="11"/>
      <c r="B642" s="11"/>
      <c r="C642" s="11"/>
      <c r="D642" s="11"/>
      <c r="E642" s="11"/>
      <c r="F642" s="11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 spans="1:26">
      <c r="A643" s="11"/>
      <c r="B643" s="11"/>
      <c r="C643" s="11"/>
      <c r="D643" s="11"/>
      <c r="E643" s="11"/>
      <c r="F643" s="11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 spans="1:26">
      <c r="A644" s="11"/>
      <c r="B644" s="11"/>
      <c r="C644" s="11"/>
      <c r="D644" s="11"/>
      <c r="E644" s="11"/>
      <c r="F644" s="11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 spans="1:26">
      <c r="A645" s="11"/>
      <c r="B645" s="11"/>
      <c r="C645" s="11"/>
      <c r="D645" s="11"/>
      <c r="E645" s="11"/>
      <c r="F645" s="11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 spans="1:26">
      <c r="A646" s="11"/>
      <c r="B646" s="11"/>
      <c r="C646" s="11"/>
      <c r="D646" s="11"/>
      <c r="E646" s="11"/>
      <c r="F646" s="11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 spans="1:26">
      <c r="A647" s="11"/>
      <c r="B647" s="11"/>
      <c r="C647" s="11"/>
      <c r="D647" s="11"/>
      <c r="E647" s="11"/>
      <c r="F647" s="11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 spans="1:26">
      <c r="A648" s="11"/>
      <c r="B648" s="11"/>
      <c r="C648" s="11"/>
      <c r="D648" s="11"/>
      <c r="E648" s="11"/>
      <c r="F648" s="11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 spans="1:26">
      <c r="A649" s="11"/>
      <c r="B649" s="11"/>
      <c r="C649" s="11"/>
      <c r="D649" s="11"/>
      <c r="E649" s="11"/>
      <c r="F649" s="11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 spans="1:26">
      <c r="A650" s="11"/>
      <c r="B650" s="11"/>
      <c r="C650" s="11"/>
      <c r="D650" s="11"/>
      <c r="E650" s="11"/>
      <c r="F650" s="11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 spans="1:26">
      <c r="A651" s="11"/>
      <c r="B651" s="11"/>
      <c r="C651" s="11"/>
      <c r="D651" s="11"/>
      <c r="E651" s="11"/>
      <c r="F651" s="11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 spans="1:26">
      <c r="A652" s="11"/>
      <c r="B652" s="11"/>
      <c r="C652" s="11"/>
      <c r="D652" s="11"/>
      <c r="E652" s="11"/>
      <c r="F652" s="11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 spans="1:26">
      <c r="A653" s="11"/>
      <c r="B653" s="11"/>
      <c r="C653" s="11"/>
      <c r="D653" s="11"/>
      <c r="E653" s="11"/>
      <c r="F653" s="11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 spans="1:26">
      <c r="A654" s="11"/>
      <c r="B654" s="11"/>
      <c r="C654" s="11"/>
      <c r="D654" s="11"/>
      <c r="E654" s="11"/>
      <c r="F654" s="11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 spans="1:26">
      <c r="A655" s="11"/>
      <c r="B655" s="11"/>
      <c r="C655" s="11"/>
      <c r="D655" s="11"/>
      <c r="E655" s="11"/>
      <c r="F655" s="11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 spans="1:26">
      <c r="A656" s="11"/>
      <c r="B656" s="11"/>
      <c r="C656" s="11"/>
      <c r="D656" s="11"/>
      <c r="E656" s="11"/>
      <c r="F656" s="11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 spans="1:26">
      <c r="A657" s="11"/>
      <c r="B657" s="11"/>
      <c r="C657" s="11"/>
      <c r="D657" s="11"/>
      <c r="E657" s="11"/>
      <c r="F657" s="11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 spans="1:26">
      <c r="A658" s="11"/>
      <c r="B658" s="11"/>
      <c r="C658" s="11"/>
      <c r="D658" s="11"/>
      <c r="E658" s="11"/>
      <c r="F658" s="11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 spans="1:26">
      <c r="A659" s="11"/>
      <c r="B659" s="11"/>
      <c r="C659" s="11"/>
      <c r="D659" s="11"/>
      <c r="E659" s="11"/>
      <c r="F659" s="11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 spans="1:26">
      <c r="A660" s="11"/>
      <c r="B660" s="11"/>
      <c r="C660" s="11"/>
      <c r="D660" s="11"/>
      <c r="E660" s="11"/>
      <c r="F660" s="11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 spans="1:26">
      <c r="A661" s="11"/>
      <c r="B661" s="11"/>
      <c r="C661" s="11"/>
      <c r="D661" s="11"/>
      <c r="E661" s="11"/>
      <c r="F661" s="11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 spans="1:26">
      <c r="A662" s="11"/>
      <c r="B662" s="11"/>
      <c r="C662" s="11"/>
      <c r="D662" s="11"/>
      <c r="E662" s="11"/>
      <c r="F662" s="11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 spans="1:26">
      <c r="A663" s="11"/>
      <c r="B663" s="11"/>
      <c r="C663" s="11"/>
      <c r="D663" s="11"/>
      <c r="E663" s="11"/>
      <c r="F663" s="11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 spans="1:26">
      <c r="A664" s="11"/>
      <c r="B664" s="11"/>
      <c r="C664" s="11"/>
      <c r="D664" s="11"/>
      <c r="E664" s="11"/>
      <c r="F664" s="11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 spans="1:26">
      <c r="A665" s="11"/>
      <c r="B665" s="11"/>
      <c r="C665" s="11"/>
      <c r="D665" s="11"/>
      <c r="E665" s="11"/>
      <c r="F665" s="11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 spans="1:26">
      <c r="A666" s="11"/>
      <c r="B666" s="11"/>
      <c r="C666" s="11"/>
      <c r="D666" s="11"/>
      <c r="E666" s="11"/>
      <c r="F666" s="11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 spans="1:26">
      <c r="A667" s="11"/>
      <c r="B667" s="11"/>
      <c r="C667" s="11"/>
      <c r="D667" s="11"/>
      <c r="E667" s="11"/>
      <c r="F667" s="11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 spans="1:26">
      <c r="A668" s="11"/>
      <c r="B668" s="11"/>
      <c r="C668" s="11"/>
      <c r="D668" s="11"/>
      <c r="E668" s="11"/>
      <c r="F668" s="11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 spans="1:26">
      <c r="A669" s="11"/>
      <c r="B669" s="11"/>
      <c r="C669" s="11"/>
      <c r="D669" s="11"/>
      <c r="E669" s="11"/>
      <c r="F669" s="11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 spans="1:26">
      <c r="A670" s="11"/>
      <c r="B670" s="11"/>
      <c r="C670" s="11"/>
      <c r="D670" s="11"/>
      <c r="E670" s="11"/>
      <c r="F670" s="11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 spans="1:26">
      <c r="A671" s="11"/>
      <c r="B671" s="11"/>
      <c r="C671" s="11"/>
      <c r="D671" s="11"/>
      <c r="E671" s="11"/>
      <c r="F671" s="11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 spans="1:26">
      <c r="A672" s="11"/>
      <c r="B672" s="11"/>
      <c r="C672" s="11"/>
      <c r="D672" s="11"/>
      <c r="E672" s="11"/>
      <c r="F672" s="11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 spans="1:26">
      <c r="A673" s="11"/>
      <c r="B673" s="11"/>
      <c r="C673" s="11"/>
      <c r="D673" s="11"/>
      <c r="E673" s="11"/>
      <c r="F673" s="11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 spans="1:26">
      <c r="A674" s="11"/>
      <c r="B674" s="11"/>
      <c r="C674" s="11"/>
      <c r="D674" s="11"/>
      <c r="E674" s="11"/>
      <c r="F674" s="11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 spans="1:26">
      <c r="A675" s="11"/>
      <c r="B675" s="11"/>
      <c r="C675" s="11"/>
      <c r="D675" s="11"/>
      <c r="E675" s="11"/>
      <c r="F675" s="11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 spans="1:26">
      <c r="A676" s="11"/>
      <c r="B676" s="11"/>
      <c r="C676" s="11"/>
      <c r="D676" s="11"/>
      <c r="E676" s="11"/>
      <c r="F676" s="11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 spans="1:26">
      <c r="A677" s="11"/>
      <c r="B677" s="11"/>
      <c r="C677" s="11"/>
      <c r="D677" s="11"/>
      <c r="E677" s="11"/>
      <c r="F677" s="11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 spans="1:26">
      <c r="A678" s="11"/>
      <c r="B678" s="11"/>
      <c r="C678" s="11"/>
      <c r="D678" s="11"/>
      <c r="E678" s="11"/>
      <c r="F678" s="11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 spans="1:26">
      <c r="A679" s="11"/>
      <c r="B679" s="11"/>
      <c r="C679" s="11"/>
      <c r="D679" s="11"/>
      <c r="E679" s="11"/>
      <c r="F679" s="11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 spans="1:26">
      <c r="A680" s="11"/>
      <c r="B680" s="11"/>
      <c r="C680" s="11"/>
      <c r="D680" s="11"/>
      <c r="E680" s="11"/>
      <c r="F680" s="11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 spans="1:26">
      <c r="A681" s="11"/>
      <c r="B681" s="11"/>
      <c r="C681" s="11"/>
      <c r="D681" s="11"/>
      <c r="E681" s="11"/>
      <c r="F681" s="11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 spans="1:26">
      <c r="A682" s="11"/>
      <c r="B682" s="11"/>
      <c r="C682" s="11"/>
      <c r="D682" s="11"/>
      <c r="E682" s="11"/>
      <c r="F682" s="11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 spans="1:26">
      <c r="A683" s="11"/>
      <c r="B683" s="11"/>
      <c r="C683" s="11"/>
      <c r="D683" s="11"/>
      <c r="E683" s="11"/>
      <c r="F683" s="11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 spans="1:26">
      <c r="A684" s="11"/>
      <c r="B684" s="11"/>
      <c r="C684" s="11"/>
      <c r="D684" s="11"/>
      <c r="E684" s="11"/>
      <c r="F684" s="11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 spans="1:26">
      <c r="A685" s="11"/>
      <c r="B685" s="11"/>
      <c r="C685" s="11"/>
      <c r="D685" s="11"/>
      <c r="E685" s="11"/>
      <c r="F685" s="11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 spans="1:26">
      <c r="A686" s="11"/>
      <c r="B686" s="11"/>
      <c r="C686" s="11"/>
      <c r="D686" s="11"/>
      <c r="E686" s="11"/>
      <c r="F686" s="11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 spans="1:26">
      <c r="A687" s="11"/>
      <c r="B687" s="11"/>
      <c r="C687" s="11"/>
      <c r="D687" s="11"/>
      <c r="E687" s="11"/>
      <c r="F687" s="11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 spans="1:26">
      <c r="A688" s="11"/>
      <c r="B688" s="11"/>
      <c r="C688" s="11"/>
      <c r="D688" s="11"/>
      <c r="E688" s="11"/>
      <c r="F688" s="11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 spans="1:26">
      <c r="A689" s="11"/>
      <c r="B689" s="11"/>
      <c r="C689" s="11"/>
      <c r="D689" s="11"/>
      <c r="E689" s="11"/>
      <c r="F689" s="11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 spans="1:26">
      <c r="A690" s="11"/>
      <c r="B690" s="11"/>
      <c r="C690" s="11"/>
      <c r="D690" s="11"/>
      <c r="E690" s="11"/>
      <c r="F690" s="11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 spans="1:26">
      <c r="A691" s="11"/>
      <c r="B691" s="11"/>
      <c r="C691" s="11"/>
      <c r="D691" s="11"/>
      <c r="E691" s="11"/>
      <c r="F691" s="11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 spans="1:26">
      <c r="A692" s="11"/>
      <c r="B692" s="11"/>
      <c r="C692" s="11"/>
      <c r="D692" s="11"/>
      <c r="E692" s="11"/>
      <c r="F692" s="11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 spans="1:26">
      <c r="A693" s="11"/>
      <c r="B693" s="11"/>
      <c r="C693" s="11"/>
      <c r="D693" s="11"/>
      <c r="E693" s="11"/>
      <c r="F693" s="11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 spans="1:26">
      <c r="A694" s="11"/>
      <c r="B694" s="11"/>
      <c r="C694" s="11"/>
      <c r="D694" s="11"/>
      <c r="E694" s="11"/>
      <c r="F694" s="11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 spans="1:26">
      <c r="A695" s="11"/>
      <c r="B695" s="11"/>
      <c r="C695" s="11"/>
      <c r="D695" s="11"/>
      <c r="E695" s="11"/>
      <c r="F695" s="11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 spans="1:26">
      <c r="A696" s="11"/>
      <c r="B696" s="11"/>
      <c r="C696" s="11"/>
      <c r="D696" s="11"/>
      <c r="E696" s="11"/>
      <c r="F696" s="11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 spans="1:26">
      <c r="A697" s="11"/>
      <c r="B697" s="11"/>
      <c r="C697" s="11"/>
      <c r="D697" s="11"/>
      <c r="E697" s="11"/>
      <c r="F697" s="11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 spans="1:26">
      <c r="A698" s="11"/>
      <c r="B698" s="11"/>
      <c r="C698" s="11"/>
      <c r="D698" s="11"/>
      <c r="E698" s="11"/>
      <c r="F698" s="11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 spans="1:26">
      <c r="A699" s="11"/>
      <c r="B699" s="11"/>
      <c r="C699" s="11"/>
      <c r="D699" s="11"/>
      <c r="E699" s="11"/>
      <c r="F699" s="11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 spans="1:26">
      <c r="A700" s="11"/>
      <c r="B700" s="11"/>
      <c r="C700" s="11"/>
      <c r="D700" s="11"/>
      <c r="E700" s="11"/>
      <c r="F700" s="11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 spans="1:26">
      <c r="A701" s="11"/>
      <c r="B701" s="11"/>
      <c r="C701" s="11"/>
      <c r="D701" s="11"/>
      <c r="E701" s="11"/>
      <c r="F701" s="11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 spans="1:26">
      <c r="A702" s="11"/>
      <c r="B702" s="11"/>
      <c r="C702" s="11"/>
      <c r="D702" s="11"/>
      <c r="E702" s="11"/>
      <c r="F702" s="11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 spans="1:26">
      <c r="A703" s="11"/>
      <c r="B703" s="11"/>
      <c r="C703" s="11"/>
      <c r="D703" s="11"/>
      <c r="E703" s="11"/>
      <c r="F703" s="11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 spans="1:26">
      <c r="A704" s="11"/>
      <c r="B704" s="11"/>
      <c r="C704" s="11"/>
      <c r="D704" s="11"/>
      <c r="E704" s="11"/>
      <c r="F704" s="11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 spans="1:26">
      <c r="A705" s="11"/>
      <c r="B705" s="11"/>
      <c r="C705" s="11"/>
      <c r="D705" s="11"/>
      <c r="E705" s="11"/>
      <c r="F705" s="11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 spans="1:26">
      <c r="A706" s="11"/>
      <c r="B706" s="11"/>
      <c r="C706" s="11"/>
      <c r="D706" s="11"/>
      <c r="E706" s="11"/>
      <c r="F706" s="11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 spans="1:26">
      <c r="A707" s="11"/>
      <c r="B707" s="11"/>
      <c r="C707" s="11"/>
      <c r="D707" s="11"/>
      <c r="E707" s="11"/>
      <c r="F707" s="11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 spans="1:26">
      <c r="A708" s="11"/>
      <c r="B708" s="11"/>
      <c r="C708" s="11"/>
      <c r="D708" s="11"/>
      <c r="E708" s="11"/>
      <c r="F708" s="11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 spans="1:26">
      <c r="A709" s="11"/>
      <c r="B709" s="11"/>
      <c r="C709" s="11"/>
      <c r="D709" s="11"/>
      <c r="E709" s="11"/>
      <c r="F709" s="11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 spans="1:26">
      <c r="A710" s="11"/>
      <c r="B710" s="11"/>
      <c r="C710" s="11"/>
      <c r="D710" s="11"/>
      <c r="E710" s="11"/>
      <c r="F710" s="11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 spans="1:26">
      <c r="A711" s="11"/>
      <c r="B711" s="11"/>
      <c r="C711" s="11"/>
      <c r="D711" s="11"/>
      <c r="E711" s="11"/>
      <c r="F711" s="11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 spans="1:26">
      <c r="A712" s="11"/>
      <c r="B712" s="11"/>
      <c r="C712" s="11"/>
      <c r="D712" s="11"/>
      <c r="E712" s="11"/>
      <c r="F712" s="11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 spans="1:26">
      <c r="A713" s="11"/>
      <c r="B713" s="11"/>
      <c r="C713" s="11"/>
      <c r="D713" s="11"/>
      <c r="E713" s="11"/>
      <c r="F713" s="11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 spans="1:26">
      <c r="A714" s="11"/>
      <c r="B714" s="11"/>
      <c r="C714" s="11"/>
      <c r="D714" s="11"/>
      <c r="E714" s="11"/>
      <c r="F714" s="11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 spans="1:26">
      <c r="A715" s="11"/>
      <c r="B715" s="11"/>
      <c r="C715" s="11"/>
      <c r="D715" s="11"/>
      <c r="E715" s="11"/>
      <c r="F715" s="11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 spans="1:26">
      <c r="A716" s="11"/>
      <c r="B716" s="11"/>
      <c r="C716" s="11"/>
      <c r="D716" s="11"/>
      <c r="E716" s="11"/>
      <c r="F716" s="11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 spans="1:26">
      <c r="A717" s="11"/>
      <c r="B717" s="11"/>
      <c r="C717" s="11"/>
      <c r="D717" s="11"/>
      <c r="E717" s="11"/>
      <c r="F717" s="11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 spans="1:26">
      <c r="A718" s="11"/>
      <c r="B718" s="11"/>
      <c r="C718" s="11"/>
      <c r="D718" s="11"/>
      <c r="E718" s="11"/>
      <c r="F718" s="11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 spans="1:26">
      <c r="A719" s="11"/>
      <c r="B719" s="11"/>
      <c r="C719" s="11"/>
      <c r="D719" s="11"/>
      <c r="E719" s="11"/>
      <c r="F719" s="11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 spans="1:26">
      <c r="A720" s="11"/>
      <c r="B720" s="11"/>
      <c r="C720" s="11"/>
      <c r="D720" s="11"/>
      <c r="E720" s="11"/>
      <c r="F720" s="11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 spans="1:26">
      <c r="A721" s="11"/>
      <c r="B721" s="11"/>
      <c r="C721" s="11"/>
      <c r="D721" s="11"/>
      <c r="E721" s="11"/>
      <c r="F721" s="11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 spans="1:26">
      <c r="A722" s="11"/>
      <c r="B722" s="11"/>
      <c r="C722" s="11"/>
      <c r="D722" s="11"/>
      <c r="E722" s="11"/>
      <c r="F722" s="11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 spans="1:26">
      <c r="A723" s="11"/>
      <c r="B723" s="11"/>
      <c r="C723" s="11"/>
      <c r="D723" s="11"/>
      <c r="E723" s="11"/>
      <c r="F723" s="11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 spans="1:26">
      <c r="A724" s="11"/>
      <c r="B724" s="11"/>
      <c r="C724" s="11"/>
      <c r="D724" s="11"/>
      <c r="E724" s="11"/>
      <c r="F724" s="11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 spans="1:26">
      <c r="A725" s="11"/>
      <c r="B725" s="11"/>
      <c r="C725" s="11"/>
      <c r="D725" s="11"/>
      <c r="E725" s="11"/>
      <c r="F725" s="11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 spans="1:26">
      <c r="A726" s="11"/>
      <c r="B726" s="11"/>
      <c r="C726" s="11"/>
      <c r="D726" s="11"/>
      <c r="E726" s="11"/>
      <c r="F726" s="11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 spans="1:26">
      <c r="A727" s="11"/>
      <c r="B727" s="11"/>
      <c r="C727" s="11"/>
      <c r="D727" s="11"/>
      <c r="E727" s="11"/>
      <c r="F727" s="11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 spans="1:26">
      <c r="A728" s="11"/>
      <c r="B728" s="11"/>
      <c r="C728" s="11"/>
      <c r="D728" s="11"/>
      <c r="E728" s="11"/>
      <c r="F728" s="11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 spans="1:26">
      <c r="A729" s="11"/>
      <c r="B729" s="11"/>
      <c r="C729" s="11"/>
      <c r="D729" s="11"/>
      <c r="E729" s="11"/>
      <c r="F729" s="11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 spans="1:26">
      <c r="A730" s="11"/>
      <c r="B730" s="11"/>
      <c r="C730" s="11"/>
      <c r="D730" s="11"/>
      <c r="E730" s="11"/>
      <c r="F730" s="11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 spans="1:26">
      <c r="A731" s="11"/>
      <c r="B731" s="11"/>
      <c r="C731" s="11"/>
      <c r="D731" s="11"/>
      <c r="E731" s="11"/>
      <c r="F731" s="11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 spans="1:26">
      <c r="A732" s="11"/>
      <c r="B732" s="11"/>
      <c r="C732" s="11"/>
      <c r="D732" s="11"/>
      <c r="E732" s="11"/>
      <c r="F732" s="11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 spans="1:26">
      <c r="A733" s="11"/>
      <c r="B733" s="11"/>
      <c r="C733" s="11"/>
      <c r="D733" s="11"/>
      <c r="E733" s="11"/>
      <c r="F733" s="11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 spans="1:26">
      <c r="A734" s="11"/>
      <c r="B734" s="11"/>
      <c r="C734" s="11"/>
      <c r="D734" s="11"/>
      <c r="E734" s="11"/>
      <c r="F734" s="11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 spans="1:26">
      <c r="A735" s="11"/>
      <c r="B735" s="11"/>
      <c r="C735" s="11"/>
      <c r="D735" s="11"/>
      <c r="E735" s="11"/>
      <c r="F735" s="11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 spans="1:26">
      <c r="A736" s="11"/>
      <c r="B736" s="11"/>
      <c r="C736" s="11"/>
      <c r="D736" s="11"/>
      <c r="E736" s="11"/>
      <c r="F736" s="11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 spans="1:26">
      <c r="A737" s="11"/>
      <c r="B737" s="11"/>
      <c r="C737" s="11"/>
      <c r="D737" s="11"/>
      <c r="E737" s="11"/>
      <c r="F737" s="11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 spans="1:26">
      <c r="A738" s="11"/>
      <c r="B738" s="11"/>
      <c r="C738" s="11"/>
      <c r="D738" s="11"/>
      <c r="E738" s="11"/>
      <c r="F738" s="11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 spans="1:26">
      <c r="A739" s="11"/>
      <c r="B739" s="11"/>
      <c r="C739" s="11"/>
      <c r="D739" s="11"/>
      <c r="E739" s="11"/>
      <c r="F739" s="11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 spans="1:26">
      <c r="A740" s="11"/>
      <c r="B740" s="11"/>
      <c r="C740" s="11"/>
      <c r="D740" s="11"/>
      <c r="E740" s="11"/>
      <c r="F740" s="11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 spans="1:26">
      <c r="A741" s="11"/>
      <c r="B741" s="11"/>
      <c r="C741" s="11"/>
      <c r="D741" s="11"/>
      <c r="E741" s="11"/>
      <c r="F741" s="11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 spans="1:26">
      <c r="A742" s="11"/>
      <c r="B742" s="11"/>
      <c r="C742" s="11"/>
      <c r="D742" s="11"/>
      <c r="E742" s="11"/>
      <c r="F742" s="11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 spans="1:26">
      <c r="A743" s="11"/>
      <c r="B743" s="11"/>
      <c r="C743" s="11"/>
      <c r="D743" s="11"/>
      <c r="E743" s="11"/>
      <c r="F743" s="11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 spans="1:26">
      <c r="A744" s="11"/>
      <c r="B744" s="11"/>
      <c r="C744" s="11"/>
      <c r="D744" s="11"/>
      <c r="E744" s="11"/>
      <c r="F744" s="11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 spans="1:26">
      <c r="A745" s="11"/>
      <c r="B745" s="11"/>
      <c r="C745" s="11"/>
      <c r="D745" s="11"/>
      <c r="E745" s="11"/>
      <c r="F745" s="11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 spans="1:26">
      <c r="A746" s="11"/>
      <c r="B746" s="11"/>
      <c r="C746" s="11"/>
      <c r="D746" s="11"/>
      <c r="E746" s="11"/>
      <c r="F746" s="11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 spans="1:26">
      <c r="A747" s="11"/>
      <c r="B747" s="11"/>
      <c r="C747" s="11"/>
      <c r="D747" s="11"/>
      <c r="E747" s="11"/>
      <c r="F747" s="11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 spans="1:26">
      <c r="A748" s="11"/>
      <c r="B748" s="11"/>
      <c r="C748" s="11"/>
      <c r="D748" s="11"/>
      <c r="E748" s="11"/>
      <c r="F748" s="11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 spans="1:26">
      <c r="A749" s="11"/>
      <c r="B749" s="11"/>
      <c r="C749" s="11"/>
      <c r="D749" s="11"/>
      <c r="E749" s="11"/>
      <c r="F749" s="11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 spans="1:26">
      <c r="A750" s="11"/>
      <c r="B750" s="11"/>
      <c r="C750" s="11"/>
      <c r="D750" s="11"/>
      <c r="E750" s="11"/>
      <c r="F750" s="11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 spans="1:26">
      <c r="A751" s="11"/>
      <c r="B751" s="11"/>
      <c r="C751" s="11"/>
      <c r="D751" s="11"/>
      <c r="E751" s="11"/>
      <c r="F751" s="11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 spans="1:26">
      <c r="A752" s="11"/>
      <c r="B752" s="11"/>
      <c r="C752" s="11"/>
      <c r="D752" s="11"/>
      <c r="E752" s="11"/>
      <c r="F752" s="11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 spans="1:26">
      <c r="A753" s="11"/>
      <c r="B753" s="11"/>
      <c r="C753" s="11"/>
      <c r="D753" s="11"/>
      <c r="E753" s="11"/>
      <c r="F753" s="11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 spans="1:26">
      <c r="A754" s="11"/>
      <c r="B754" s="11"/>
      <c r="C754" s="11"/>
      <c r="D754" s="11"/>
      <c r="E754" s="11"/>
      <c r="F754" s="11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 spans="1:26">
      <c r="A755" s="11"/>
      <c r="B755" s="11"/>
      <c r="C755" s="11"/>
      <c r="D755" s="11"/>
      <c r="E755" s="11"/>
      <c r="F755" s="11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 spans="1:26">
      <c r="A756" s="11"/>
      <c r="B756" s="11"/>
      <c r="C756" s="11"/>
      <c r="D756" s="11"/>
      <c r="E756" s="11"/>
      <c r="F756" s="11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 spans="1:26">
      <c r="A757" s="11"/>
      <c r="B757" s="11"/>
      <c r="C757" s="11"/>
      <c r="D757" s="11"/>
      <c r="E757" s="11"/>
      <c r="F757" s="11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 spans="1:26">
      <c r="A758" s="11"/>
      <c r="B758" s="11"/>
      <c r="C758" s="11"/>
      <c r="D758" s="11"/>
      <c r="E758" s="11"/>
      <c r="F758" s="11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 spans="1:26">
      <c r="A759" s="11"/>
      <c r="B759" s="11"/>
      <c r="C759" s="11"/>
      <c r="D759" s="11"/>
      <c r="E759" s="11"/>
      <c r="F759" s="11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 spans="1:26">
      <c r="A760" s="11"/>
      <c r="B760" s="11"/>
      <c r="C760" s="11"/>
      <c r="D760" s="11"/>
      <c r="E760" s="11"/>
      <c r="F760" s="11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 spans="1:26">
      <c r="A761" s="11"/>
      <c r="B761" s="11"/>
      <c r="C761" s="11"/>
      <c r="D761" s="11"/>
      <c r="E761" s="11"/>
      <c r="F761" s="11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 spans="1:26">
      <c r="A762" s="11"/>
      <c r="B762" s="11"/>
      <c r="C762" s="11"/>
      <c r="D762" s="11"/>
      <c r="E762" s="11"/>
      <c r="F762" s="11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 spans="1:26">
      <c r="A763" s="11"/>
      <c r="B763" s="11"/>
      <c r="C763" s="11"/>
      <c r="D763" s="11"/>
      <c r="E763" s="11"/>
      <c r="F763" s="11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 spans="1:26">
      <c r="A764" s="11"/>
      <c r="B764" s="11"/>
      <c r="C764" s="11"/>
      <c r="D764" s="11"/>
      <c r="E764" s="11"/>
      <c r="F764" s="11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 spans="1:26">
      <c r="A765" s="11"/>
      <c r="B765" s="11"/>
      <c r="C765" s="11"/>
      <c r="D765" s="11"/>
      <c r="E765" s="11"/>
      <c r="F765" s="11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 spans="1:26">
      <c r="A766" s="11"/>
      <c r="B766" s="11"/>
      <c r="C766" s="11"/>
      <c r="D766" s="11"/>
      <c r="E766" s="11"/>
      <c r="F766" s="11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 spans="1:26">
      <c r="A767" s="11"/>
      <c r="B767" s="11"/>
      <c r="C767" s="11"/>
      <c r="D767" s="11"/>
      <c r="E767" s="11"/>
      <c r="F767" s="11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 spans="1:26">
      <c r="A768" s="11"/>
      <c r="B768" s="11"/>
      <c r="C768" s="11"/>
      <c r="D768" s="11"/>
      <c r="E768" s="11"/>
      <c r="F768" s="11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 spans="1:26">
      <c r="A769" s="11"/>
      <c r="B769" s="11"/>
      <c r="C769" s="11"/>
      <c r="D769" s="11"/>
      <c r="E769" s="11"/>
      <c r="F769" s="11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 spans="1:26">
      <c r="A770" s="11"/>
      <c r="B770" s="11"/>
      <c r="C770" s="11"/>
      <c r="D770" s="11"/>
      <c r="E770" s="11"/>
      <c r="F770" s="11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 spans="1:26">
      <c r="A771" s="11"/>
      <c r="B771" s="11"/>
      <c r="C771" s="11"/>
      <c r="D771" s="11"/>
      <c r="E771" s="11"/>
      <c r="F771" s="11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 spans="1:26">
      <c r="A772" s="11"/>
      <c r="B772" s="11"/>
      <c r="C772" s="11"/>
      <c r="D772" s="11"/>
      <c r="E772" s="11"/>
      <c r="F772" s="11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 spans="1:26">
      <c r="A773" s="11"/>
      <c r="B773" s="11"/>
      <c r="C773" s="11"/>
      <c r="D773" s="11"/>
      <c r="E773" s="11"/>
      <c r="F773" s="11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 spans="1:26">
      <c r="A774" s="11"/>
      <c r="B774" s="11"/>
      <c r="C774" s="11"/>
      <c r="D774" s="11"/>
      <c r="E774" s="11"/>
      <c r="F774" s="11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 spans="1:26">
      <c r="A775" s="11"/>
      <c r="B775" s="11"/>
      <c r="C775" s="11"/>
      <c r="D775" s="11"/>
      <c r="E775" s="11"/>
      <c r="F775" s="11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 spans="1:26">
      <c r="A776" s="11"/>
      <c r="B776" s="11"/>
      <c r="C776" s="11"/>
      <c r="D776" s="11"/>
      <c r="E776" s="11"/>
      <c r="F776" s="11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 spans="1:26">
      <c r="A777" s="11"/>
      <c r="B777" s="11"/>
      <c r="C777" s="11"/>
      <c r="D777" s="11"/>
      <c r="E777" s="11"/>
      <c r="F777" s="11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 spans="1:26">
      <c r="A778" s="11"/>
      <c r="B778" s="11"/>
      <c r="C778" s="11"/>
      <c r="D778" s="11"/>
      <c r="E778" s="11"/>
      <c r="F778" s="11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 spans="1:26">
      <c r="A779" s="11"/>
      <c r="B779" s="11"/>
      <c r="C779" s="11"/>
      <c r="D779" s="11"/>
      <c r="E779" s="11"/>
      <c r="F779" s="11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 spans="1:26">
      <c r="A780" s="11"/>
      <c r="B780" s="11"/>
      <c r="C780" s="11"/>
      <c r="D780" s="11"/>
      <c r="E780" s="11"/>
      <c r="F780" s="11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 spans="1:26">
      <c r="A781" s="11"/>
      <c r="B781" s="11"/>
      <c r="C781" s="11"/>
      <c r="D781" s="11"/>
      <c r="E781" s="11"/>
      <c r="F781" s="11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 spans="1:26">
      <c r="A782" s="11"/>
      <c r="B782" s="11"/>
      <c r="C782" s="11"/>
      <c r="D782" s="11"/>
      <c r="E782" s="11"/>
      <c r="F782" s="11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 spans="1:26">
      <c r="A783" s="11"/>
      <c r="B783" s="11"/>
      <c r="C783" s="11"/>
      <c r="D783" s="11"/>
      <c r="E783" s="11"/>
      <c r="F783" s="11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 spans="1:26">
      <c r="A784" s="11"/>
      <c r="B784" s="11"/>
      <c r="C784" s="11"/>
      <c r="D784" s="11"/>
      <c r="E784" s="11"/>
      <c r="F784" s="11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 spans="1:26">
      <c r="A785" s="11"/>
      <c r="B785" s="11"/>
      <c r="C785" s="11"/>
      <c r="D785" s="11"/>
      <c r="E785" s="11"/>
      <c r="F785" s="11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 spans="1:26">
      <c r="A786" s="11"/>
      <c r="B786" s="11"/>
      <c r="C786" s="11"/>
      <c r="D786" s="11"/>
      <c r="E786" s="11"/>
      <c r="F786" s="11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 spans="1:26">
      <c r="A787" s="11"/>
      <c r="B787" s="11"/>
      <c r="C787" s="11"/>
      <c r="D787" s="11"/>
      <c r="E787" s="11"/>
      <c r="F787" s="11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 spans="1:26">
      <c r="A788" s="11"/>
      <c r="B788" s="11"/>
      <c r="C788" s="11"/>
      <c r="D788" s="11"/>
      <c r="E788" s="11"/>
      <c r="F788" s="11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 spans="1:26">
      <c r="A789" s="11"/>
      <c r="B789" s="11"/>
      <c r="C789" s="11"/>
      <c r="D789" s="11"/>
      <c r="E789" s="11"/>
      <c r="F789" s="11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 spans="1:26">
      <c r="A790" s="11"/>
      <c r="B790" s="11"/>
      <c r="C790" s="11"/>
      <c r="D790" s="11"/>
      <c r="E790" s="11"/>
      <c r="F790" s="11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 spans="1:26">
      <c r="A791" s="11"/>
      <c r="B791" s="11"/>
      <c r="C791" s="11"/>
      <c r="D791" s="11"/>
      <c r="E791" s="11"/>
      <c r="F791" s="11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 spans="1:26">
      <c r="A792" s="11"/>
      <c r="B792" s="11"/>
      <c r="C792" s="11"/>
      <c r="D792" s="11"/>
      <c r="E792" s="11"/>
      <c r="F792" s="11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 spans="1:26">
      <c r="A793" s="11"/>
      <c r="B793" s="11"/>
      <c r="C793" s="11"/>
      <c r="D793" s="11"/>
      <c r="E793" s="11"/>
      <c r="F793" s="11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 spans="1:26">
      <c r="A794" s="11"/>
      <c r="B794" s="11"/>
      <c r="C794" s="11"/>
      <c r="D794" s="11"/>
      <c r="E794" s="11"/>
      <c r="F794" s="11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 spans="1:26">
      <c r="A795" s="11"/>
      <c r="B795" s="11"/>
      <c r="C795" s="11"/>
      <c r="D795" s="11"/>
      <c r="E795" s="11"/>
      <c r="F795" s="11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 spans="1:26">
      <c r="A796" s="11"/>
      <c r="B796" s="11"/>
      <c r="C796" s="11"/>
      <c r="D796" s="11"/>
      <c r="E796" s="11"/>
      <c r="F796" s="11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 spans="1:26">
      <c r="A797" s="11"/>
      <c r="B797" s="11"/>
      <c r="C797" s="11"/>
      <c r="D797" s="11"/>
      <c r="E797" s="11"/>
      <c r="F797" s="11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 spans="1:26">
      <c r="A798" s="11"/>
      <c r="B798" s="11"/>
      <c r="C798" s="11"/>
      <c r="D798" s="11"/>
      <c r="E798" s="11"/>
      <c r="F798" s="11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 spans="1:26">
      <c r="A799" s="11"/>
      <c r="B799" s="11"/>
      <c r="C799" s="11"/>
      <c r="D799" s="11"/>
      <c r="E799" s="11"/>
      <c r="F799" s="11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 spans="1:26">
      <c r="A800" s="11"/>
      <c r="B800" s="11"/>
      <c r="C800" s="11"/>
      <c r="D800" s="11"/>
      <c r="E800" s="11"/>
      <c r="F800" s="11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 spans="1:26">
      <c r="A801" s="11"/>
      <c r="B801" s="11"/>
      <c r="C801" s="11"/>
      <c r="D801" s="11"/>
      <c r="E801" s="11"/>
      <c r="F801" s="11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 spans="1:26">
      <c r="A802" s="11"/>
      <c r="B802" s="11"/>
      <c r="C802" s="11"/>
      <c r="D802" s="11"/>
      <c r="E802" s="11"/>
      <c r="F802" s="11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 spans="1:26">
      <c r="A803" s="11"/>
      <c r="B803" s="11"/>
      <c r="C803" s="11"/>
      <c r="D803" s="11"/>
      <c r="E803" s="11"/>
      <c r="F803" s="11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 spans="1:26">
      <c r="A804" s="11"/>
      <c r="B804" s="11"/>
      <c r="C804" s="11"/>
      <c r="D804" s="11"/>
      <c r="E804" s="11"/>
      <c r="F804" s="11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 spans="1:26">
      <c r="A805" s="11"/>
      <c r="B805" s="11"/>
      <c r="C805" s="11"/>
      <c r="D805" s="11"/>
      <c r="E805" s="11"/>
      <c r="F805" s="11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 spans="1:26">
      <c r="A806" s="11"/>
      <c r="B806" s="11"/>
      <c r="C806" s="11"/>
      <c r="D806" s="11"/>
      <c r="E806" s="11"/>
      <c r="F806" s="11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 spans="1:26">
      <c r="A807" s="11"/>
      <c r="B807" s="11"/>
      <c r="C807" s="11"/>
      <c r="D807" s="11"/>
      <c r="E807" s="11"/>
      <c r="F807" s="11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 spans="1:26">
      <c r="A808" s="11"/>
      <c r="B808" s="11"/>
      <c r="C808" s="11"/>
      <c r="D808" s="11"/>
      <c r="E808" s="11"/>
      <c r="F808" s="11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 spans="1:26">
      <c r="A809" s="11"/>
      <c r="B809" s="11"/>
      <c r="C809" s="11"/>
      <c r="D809" s="11"/>
      <c r="E809" s="11"/>
      <c r="F809" s="11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 spans="1:26">
      <c r="A810" s="11"/>
      <c r="B810" s="11"/>
      <c r="C810" s="11"/>
      <c r="D810" s="11"/>
      <c r="E810" s="11"/>
      <c r="F810" s="11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 spans="1:26">
      <c r="A811" s="11"/>
      <c r="B811" s="11"/>
      <c r="C811" s="11"/>
      <c r="D811" s="11"/>
      <c r="E811" s="11"/>
      <c r="F811" s="11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 spans="1:26">
      <c r="A812" s="11"/>
      <c r="B812" s="11"/>
      <c r="C812" s="11"/>
      <c r="D812" s="11"/>
      <c r="E812" s="11"/>
      <c r="F812" s="11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 spans="1:26">
      <c r="A813" s="11"/>
      <c r="B813" s="11"/>
      <c r="C813" s="11"/>
      <c r="D813" s="11"/>
      <c r="E813" s="11"/>
      <c r="F813" s="11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 spans="1:26">
      <c r="A814" s="11"/>
      <c r="B814" s="11"/>
      <c r="C814" s="11"/>
      <c r="D814" s="11"/>
      <c r="E814" s="11"/>
      <c r="F814" s="11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 spans="1:26">
      <c r="A815" s="11"/>
      <c r="B815" s="11"/>
      <c r="C815" s="11"/>
      <c r="D815" s="11"/>
      <c r="E815" s="11"/>
      <c r="F815" s="11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 spans="1:26">
      <c r="A816" s="11"/>
      <c r="B816" s="11"/>
      <c r="C816" s="11"/>
      <c r="D816" s="11"/>
      <c r="E816" s="11"/>
      <c r="F816" s="11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 spans="1:26">
      <c r="A817" s="11"/>
      <c r="B817" s="11"/>
      <c r="C817" s="11"/>
      <c r="D817" s="11"/>
      <c r="E817" s="11"/>
      <c r="F817" s="11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 spans="1:26">
      <c r="A818" s="11"/>
      <c r="B818" s="11"/>
      <c r="C818" s="11"/>
      <c r="D818" s="11"/>
      <c r="E818" s="11"/>
      <c r="F818" s="11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 spans="1:26">
      <c r="A819" s="11"/>
      <c r="B819" s="11"/>
      <c r="C819" s="11"/>
      <c r="D819" s="11"/>
      <c r="E819" s="11"/>
      <c r="F819" s="11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 spans="1:26">
      <c r="A820" s="11"/>
      <c r="B820" s="11"/>
      <c r="C820" s="11"/>
      <c r="D820" s="11"/>
      <c r="E820" s="11"/>
      <c r="F820" s="11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 spans="1:26">
      <c r="A821" s="11"/>
      <c r="B821" s="11"/>
      <c r="C821" s="11"/>
      <c r="D821" s="11"/>
      <c r="E821" s="11"/>
      <c r="F821" s="11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 spans="1:26">
      <c r="A822" s="11"/>
      <c r="B822" s="11"/>
      <c r="C822" s="11"/>
      <c r="D822" s="11"/>
      <c r="E822" s="11"/>
      <c r="F822" s="11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 spans="1:26">
      <c r="A823" s="11"/>
      <c r="B823" s="11"/>
      <c r="C823" s="11"/>
      <c r="D823" s="11"/>
      <c r="E823" s="11"/>
      <c r="F823" s="11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 spans="1:26">
      <c r="A824" s="11"/>
      <c r="B824" s="11"/>
      <c r="C824" s="11"/>
      <c r="D824" s="11"/>
      <c r="E824" s="11"/>
      <c r="F824" s="11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 spans="1:26">
      <c r="A825" s="11"/>
      <c r="B825" s="11"/>
      <c r="C825" s="11"/>
      <c r="D825" s="11"/>
      <c r="E825" s="11"/>
      <c r="F825" s="11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 spans="1:26">
      <c r="A826" s="11"/>
      <c r="B826" s="11"/>
      <c r="C826" s="11"/>
      <c r="D826" s="11"/>
      <c r="E826" s="11"/>
      <c r="F826" s="11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 spans="1:26">
      <c r="A827" s="11"/>
      <c r="B827" s="11"/>
      <c r="C827" s="11"/>
      <c r="D827" s="11"/>
      <c r="E827" s="11"/>
      <c r="F827" s="11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 spans="1:26">
      <c r="A828" s="11"/>
      <c r="B828" s="11"/>
      <c r="C828" s="11"/>
      <c r="D828" s="11"/>
      <c r="E828" s="11"/>
      <c r="F828" s="11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 spans="1:26">
      <c r="A829" s="11"/>
      <c r="B829" s="11"/>
      <c r="C829" s="11"/>
      <c r="D829" s="11"/>
      <c r="E829" s="11"/>
      <c r="F829" s="11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 spans="1:26">
      <c r="A830" s="11"/>
      <c r="B830" s="11"/>
      <c r="C830" s="11"/>
      <c r="D830" s="11"/>
      <c r="E830" s="11"/>
      <c r="F830" s="11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 spans="1:26">
      <c r="A831" s="11"/>
      <c r="B831" s="11"/>
      <c r="C831" s="11"/>
      <c r="D831" s="11"/>
      <c r="E831" s="11"/>
      <c r="F831" s="11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 spans="1:26">
      <c r="A832" s="11"/>
      <c r="B832" s="11"/>
      <c r="C832" s="11"/>
      <c r="D832" s="11"/>
      <c r="E832" s="11"/>
      <c r="F832" s="11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 spans="1:26">
      <c r="A833" s="11"/>
      <c r="B833" s="11"/>
      <c r="C833" s="11"/>
      <c r="D833" s="11"/>
      <c r="E833" s="11"/>
      <c r="F833" s="11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 spans="1:26">
      <c r="A834" s="11"/>
      <c r="B834" s="11"/>
      <c r="C834" s="11"/>
      <c r="D834" s="11"/>
      <c r="E834" s="11"/>
      <c r="F834" s="11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 spans="1:26">
      <c r="A835" s="11"/>
      <c r="B835" s="11"/>
      <c r="C835" s="11"/>
      <c r="D835" s="11"/>
      <c r="E835" s="11"/>
      <c r="F835" s="11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 spans="1:26">
      <c r="A836" s="11"/>
      <c r="B836" s="11"/>
      <c r="C836" s="11"/>
      <c r="D836" s="11"/>
      <c r="E836" s="11"/>
      <c r="F836" s="11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 spans="1:26">
      <c r="A837" s="11"/>
      <c r="B837" s="11"/>
      <c r="C837" s="11"/>
      <c r="D837" s="11"/>
      <c r="E837" s="11"/>
      <c r="F837" s="11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 spans="1:26">
      <c r="A838" s="11"/>
      <c r="B838" s="11"/>
      <c r="C838" s="11"/>
      <c r="D838" s="11"/>
      <c r="E838" s="11"/>
      <c r="F838" s="11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 spans="1:26">
      <c r="A839" s="11"/>
      <c r="B839" s="11"/>
      <c r="C839" s="11"/>
      <c r="D839" s="11"/>
      <c r="E839" s="11"/>
      <c r="F839" s="11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 spans="1:26">
      <c r="A840" s="11"/>
      <c r="B840" s="11"/>
      <c r="C840" s="11"/>
      <c r="D840" s="11"/>
      <c r="E840" s="11"/>
      <c r="F840" s="11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 spans="1:26">
      <c r="A841" s="11"/>
      <c r="B841" s="11"/>
      <c r="C841" s="11"/>
      <c r="D841" s="11"/>
      <c r="E841" s="11"/>
      <c r="F841" s="11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 spans="1:26">
      <c r="A842" s="11"/>
      <c r="B842" s="11"/>
      <c r="C842" s="11"/>
      <c r="D842" s="11"/>
      <c r="E842" s="11"/>
      <c r="F842" s="11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 spans="1:26">
      <c r="A843" s="11"/>
      <c r="B843" s="11"/>
      <c r="C843" s="11"/>
      <c r="D843" s="11"/>
      <c r="E843" s="11"/>
      <c r="F843" s="11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 spans="1:26">
      <c r="A844" s="11"/>
      <c r="B844" s="11"/>
      <c r="C844" s="11"/>
      <c r="D844" s="11"/>
      <c r="E844" s="11"/>
      <c r="F844" s="11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 spans="1:26">
      <c r="A845" s="11"/>
      <c r="B845" s="11"/>
      <c r="C845" s="11"/>
      <c r="D845" s="11"/>
      <c r="E845" s="11"/>
      <c r="F845" s="11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 spans="1:26">
      <c r="A846" s="11"/>
      <c r="B846" s="11"/>
      <c r="C846" s="11"/>
      <c r="D846" s="11"/>
      <c r="E846" s="11"/>
      <c r="F846" s="11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 spans="1:26">
      <c r="A847" s="11"/>
      <c r="B847" s="11"/>
      <c r="C847" s="11"/>
      <c r="D847" s="11"/>
      <c r="E847" s="11"/>
      <c r="F847" s="11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 spans="1:26">
      <c r="A848" s="11"/>
      <c r="B848" s="11"/>
      <c r="C848" s="11"/>
      <c r="D848" s="11"/>
      <c r="E848" s="11"/>
      <c r="F848" s="11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 spans="1:26">
      <c r="A849" s="11"/>
      <c r="B849" s="11"/>
      <c r="C849" s="11"/>
      <c r="D849" s="11"/>
      <c r="E849" s="11"/>
      <c r="F849" s="11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 spans="1:26">
      <c r="A850" s="11"/>
      <c r="B850" s="11"/>
      <c r="C850" s="11"/>
      <c r="D850" s="11"/>
      <c r="E850" s="11"/>
      <c r="F850" s="11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 spans="1:26">
      <c r="A851" s="11"/>
      <c r="B851" s="11"/>
      <c r="C851" s="11"/>
      <c r="D851" s="11"/>
      <c r="E851" s="11"/>
      <c r="F851" s="11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 spans="1:26">
      <c r="A852" s="11"/>
      <c r="B852" s="11"/>
      <c r="C852" s="11"/>
      <c r="D852" s="11"/>
      <c r="E852" s="11"/>
      <c r="F852" s="11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 spans="1:26">
      <c r="A853" s="11"/>
      <c r="B853" s="11"/>
      <c r="C853" s="11"/>
      <c r="D853" s="11"/>
      <c r="E853" s="11"/>
      <c r="F853" s="11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 spans="1:26">
      <c r="A854" s="11"/>
      <c r="B854" s="11"/>
      <c r="C854" s="11"/>
      <c r="D854" s="11"/>
      <c r="E854" s="11"/>
      <c r="F854" s="11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 spans="1:26">
      <c r="A855" s="11"/>
      <c r="B855" s="11"/>
      <c r="C855" s="11"/>
      <c r="D855" s="11"/>
      <c r="E855" s="11"/>
      <c r="F855" s="11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 spans="1:26">
      <c r="A856" s="11"/>
      <c r="B856" s="11"/>
      <c r="C856" s="11"/>
      <c r="D856" s="11"/>
      <c r="E856" s="11"/>
      <c r="F856" s="11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 spans="1:26">
      <c r="A857" s="11"/>
      <c r="B857" s="11"/>
      <c r="C857" s="11"/>
      <c r="D857" s="11"/>
      <c r="E857" s="11"/>
      <c r="F857" s="11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 spans="1:26">
      <c r="A858" s="11"/>
      <c r="B858" s="11"/>
      <c r="C858" s="11"/>
      <c r="D858" s="11"/>
      <c r="E858" s="11"/>
      <c r="F858" s="11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 spans="1:26">
      <c r="A859" s="11"/>
      <c r="B859" s="11"/>
      <c r="C859" s="11"/>
      <c r="D859" s="11"/>
      <c r="E859" s="11"/>
      <c r="F859" s="11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 spans="1:26">
      <c r="A860" s="11"/>
      <c r="B860" s="11"/>
      <c r="C860" s="11"/>
      <c r="D860" s="11"/>
      <c r="E860" s="11"/>
      <c r="F860" s="11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 spans="1:26">
      <c r="A861" s="11"/>
      <c r="B861" s="11"/>
      <c r="C861" s="11"/>
      <c r="D861" s="11"/>
      <c r="E861" s="11"/>
      <c r="F861" s="11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 spans="1:26">
      <c r="A862" s="11"/>
      <c r="B862" s="11"/>
      <c r="C862" s="11"/>
      <c r="D862" s="11"/>
      <c r="E862" s="11"/>
      <c r="F862" s="11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 spans="1:26">
      <c r="A863" s="11"/>
      <c r="B863" s="11"/>
      <c r="C863" s="11"/>
      <c r="D863" s="11"/>
      <c r="E863" s="11"/>
      <c r="F863" s="11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 spans="1:26">
      <c r="A864" s="11"/>
      <c r="B864" s="11"/>
      <c r="C864" s="11"/>
      <c r="D864" s="11"/>
      <c r="E864" s="11"/>
      <c r="F864" s="11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 spans="1:26">
      <c r="A865" s="11"/>
      <c r="B865" s="11"/>
      <c r="C865" s="11"/>
      <c r="D865" s="11"/>
      <c r="E865" s="11"/>
      <c r="F865" s="11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 spans="1:26">
      <c r="A866" s="11"/>
      <c r="B866" s="11"/>
      <c r="C866" s="11"/>
      <c r="D866" s="11"/>
      <c r="E866" s="11"/>
      <c r="F866" s="11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 spans="1:26">
      <c r="A867" s="11"/>
      <c r="B867" s="11"/>
      <c r="C867" s="11"/>
      <c r="D867" s="11"/>
      <c r="E867" s="11"/>
      <c r="F867" s="11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 spans="1:26">
      <c r="A868" s="11"/>
      <c r="B868" s="11"/>
      <c r="C868" s="11"/>
      <c r="D868" s="11"/>
      <c r="E868" s="11"/>
      <c r="F868" s="11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 spans="1:26">
      <c r="A869" s="11"/>
      <c r="B869" s="11"/>
      <c r="C869" s="11"/>
      <c r="D869" s="11"/>
      <c r="E869" s="11"/>
      <c r="F869" s="11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 spans="1:26">
      <c r="A870" s="11"/>
      <c r="B870" s="11"/>
      <c r="C870" s="11"/>
      <c r="D870" s="11"/>
      <c r="E870" s="11"/>
      <c r="F870" s="11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 spans="1:26">
      <c r="A871" s="11"/>
      <c r="B871" s="11"/>
      <c r="C871" s="11"/>
      <c r="D871" s="11"/>
      <c r="E871" s="11"/>
      <c r="F871" s="11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 spans="1:26">
      <c r="A872" s="11"/>
      <c r="B872" s="11"/>
      <c r="C872" s="11"/>
      <c r="D872" s="11"/>
      <c r="E872" s="11"/>
      <c r="F872" s="11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 spans="1:26">
      <c r="A873" s="11"/>
      <c r="B873" s="11"/>
      <c r="C873" s="11"/>
      <c r="D873" s="11"/>
      <c r="E873" s="11"/>
      <c r="F873" s="11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 spans="1:26">
      <c r="A874" s="11"/>
      <c r="B874" s="11"/>
      <c r="C874" s="11"/>
      <c r="D874" s="11"/>
      <c r="E874" s="11"/>
      <c r="F874" s="11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 spans="1:26">
      <c r="A875" s="11"/>
      <c r="B875" s="11"/>
      <c r="C875" s="11"/>
      <c r="D875" s="11"/>
      <c r="E875" s="11"/>
      <c r="F875" s="11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 spans="1:26">
      <c r="A876" s="11"/>
      <c r="B876" s="11"/>
      <c r="C876" s="11"/>
      <c r="D876" s="11"/>
      <c r="E876" s="11"/>
      <c r="F876" s="11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 spans="1:26">
      <c r="A877" s="11"/>
      <c r="B877" s="11"/>
      <c r="C877" s="11"/>
      <c r="D877" s="11"/>
      <c r="E877" s="11"/>
      <c r="F877" s="11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 spans="1:26">
      <c r="A878" s="11"/>
      <c r="B878" s="11"/>
      <c r="C878" s="11"/>
      <c r="D878" s="11"/>
      <c r="E878" s="11"/>
      <c r="F878" s="11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 spans="1:26">
      <c r="A879" s="11"/>
      <c r="B879" s="11"/>
      <c r="C879" s="11"/>
      <c r="D879" s="11"/>
      <c r="E879" s="11"/>
      <c r="F879" s="11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 spans="1:26">
      <c r="A880" s="11"/>
      <c r="B880" s="11"/>
      <c r="C880" s="11"/>
      <c r="D880" s="11"/>
      <c r="E880" s="11"/>
      <c r="F880" s="11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 spans="1:26">
      <c r="A881" s="11"/>
      <c r="B881" s="11"/>
      <c r="C881" s="11"/>
      <c r="D881" s="11"/>
      <c r="E881" s="11"/>
      <c r="F881" s="11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 spans="1:26">
      <c r="A882" s="11"/>
      <c r="B882" s="11"/>
      <c r="C882" s="11"/>
      <c r="D882" s="11"/>
      <c r="E882" s="11"/>
      <c r="F882" s="11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 spans="1:26">
      <c r="A883" s="11"/>
      <c r="B883" s="11"/>
      <c r="C883" s="11"/>
      <c r="D883" s="11"/>
      <c r="E883" s="11"/>
      <c r="F883" s="11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 spans="1:26">
      <c r="A884" s="11"/>
      <c r="B884" s="11"/>
      <c r="C884" s="11"/>
      <c r="D884" s="11"/>
      <c r="E884" s="11"/>
      <c r="F884" s="11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 spans="1:26">
      <c r="A885" s="11"/>
      <c r="B885" s="11"/>
      <c r="C885" s="11"/>
      <c r="D885" s="11"/>
      <c r="E885" s="11"/>
      <c r="F885" s="11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 spans="1:26">
      <c r="A886" s="11"/>
      <c r="B886" s="11"/>
      <c r="C886" s="11"/>
      <c r="D886" s="11"/>
      <c r="E886" s="11"/>
      <c r="F886" s="11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 spans="1:26">
      <c r="A887" s="11"/>
      <c r="B887" s="11"/>
      <c r="C887" s="11"/>
      <c r="D887" s="11"/>
      <c r="E887" s="11"/>
      <c r="F887" s="11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 spans="1:26">
      <c r="A888" s="11"/>
      <c r="B888" s="11"/>
      <c r="C888" s="11"/>
      <c r="D888" s="11"/>
      <c r="E888" s="11"/>
      <c r="F888" s="11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 spans="1:26">
      <c r="A889" s="11"/>
      <c r="B889" s="11"/>
      <c r="C889" s="11"/>
      <c r="D889" s="11"/>
      <c r="E889" s="11"/>
      <c r="F889" s="11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 spans="1:26">
      <c r="A890" s="11"/>
      <c r="B890" s="11"/>
      <c r="C890" s="11"/>
      <c r="D890" s="11"/>
      <c r="E890" s="11"/>
      <c r="F890" s="11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 spans="1:26">
      <c r="A891" s="11"/>
      <c r="B891" s="11"/>
      <c r="C891" s="11"/>
      <c r="D891" s="11"/>
      <c r="E891" s="11"/>
      <c r="F891" s="11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 spans="1:26">
      <c r="A892" s="11"/>
      <c r="B892" s="11"/>
      <c r="C892" s="11"/>
      <c r="D892" s="11"/>
      <c r="E892" s="11"/>
      <c r="F892" s="11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 spans="1:26">
      <c r="A893" s="11"/>
      <c r="B893" s="11"/>
      <c r="C893" s="11"/>
      <c r="D893" s="11"/>
      <c r="E893" s="11"/>
      <c r="F893" s="11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 spans="1:26">
      <c r="A894" s="11"/>
      <c r="B894" s="11"/>
      <c r="C894" s="11"/>
      <c r="D894" s="11"/>
      <c r="E894" s="11"/>
      <c r="F894" s="11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 spans="1:26">
      <c r="A895" s="11"/>
      <c r="B895" s="11"/>
      <c r="C895" s="11"/>
      <c r="D895" s="11"/>
      <c r="E895" s="11"/>
      <c r="F895" s="11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 spans="1:26">
      <c r="A896" s="11"/>
      <c r="B896" s="11"/>
      <c r="C896" s="11"/>
      <c r="D896" s="11"/>
      <c r="E896" s="11"/>
      <c r="F896" s="11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 spans="1:26">
      <c r="A897" s="11"/>
      <c r="B897" s="11"/>
      <c r="C897" s="11"/>
      <c r="D897" s="11"/>
      <c r="E897" s="11"/>
      <c r="F897" s="11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 spans="1:26">
      <c r="A898" s="11"/>
      <c r="B898" s="11"/>
      <c r="C898" s="11"/>
      <c r="D898" s="11"/>
      <c r="E898" s="11"/>
      <c r="F898" s="11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 spans="1:26">
      <c r="A899" s="11"/>
      <c r="B899" s="11"/>
      <c r="C899" s="11"/>
      <c r="D899" s="11"/>
      <c r="E899" s="11"/>
      <c r="F899" s="11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 spans="1:26">
      <c r="A900" s="11"/>
      <c r="B900" s="11"/>
      <c r="C900" s="11"/>
      <c r="D900" s="11"/>
      <c r="E900" s="11"/>
      <c r="F900" s="11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 spans="1:26">
      <c r="A901" s="11"/>
      <c r="B901" s="11"/>
      <c r="C901" s="11"/>
      <c r="D901" s="11"/>
      <c r="E901" s="11"/>
      <c r="F901" s="11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 spans="1:26">
      <c r="A902" s="11"/>
      <c r="B902" s="11"/>
      <c r="C902" s="11"/>
      <c r="D902" s="11"/>
      <c r="E902" s="11"/>
      <c r="F902" s="11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 spans="1:26">
      <c r="A903" s="11"/>
      <c r="B903" s="11"/>
      <c r="C903" s="11"/>
      <c r="D903" s="11"/>
      <c r="E903" s="11"/>
      <c r="F903" s="11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 spans="1:26">
      <c r="A904" s="11"/>
      <c r="B904" s="11"/>
      <c r="C904" s="11"/>
      <c r="D904" s="11"/>
      <c r="E904" s="11"/>
      <c r="F904" s="11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 spans="1:26">
      <c r="A905" s="11"/>
      <c r="B905" s="11"/>
      <c r="C905" s="11"/>
      <c r="D905" s="11"/>
      <c r="E905" s="11"/>
      <c r="F905" s="11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 spans="1:26">
      <c r="A906" s="11"/>
      <c r="B906" s="11"/>
      <c r="C906" s="11"/>
      <c r="D906" s="11"/>
      <c r="E906" s="11"/>
      <c r="F906" s="11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 spans="1:26">
      <c r="A907" s="11"/>
      <c r="B907" s="11"/>
      <c r="C907" s="11"/>
      <c r="D907" s="11"/>
      <c r="E907" s="11"/>
      <c r="F907" s="11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 spans="1:26">
      <c r="A908" s="11"/>
      <c r="B908" s="11"/>
      <c r="C908" s="11"/>
      <c r="D908" s="11"/>
      <c r="E908" s="11"/>
      <c r="F908" s="11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 spans="1:26">
      <c r="A909" s="11"/>
      <c r="B909" s="11"/>
      <c r="C909" s="11"/>
      <c r="D909" s="11"/>
      <c r="E909" s="11"/>
      <c r="F909" s="11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 spans="1:26">
      <c r="A910" s="11"/>
      <c r="B910" s="11"/>
      <c r="C910" s="11"/>
      <c r="D910" s="11"/>
      <c r="E910" s="11"/>
      <c r="F910" s="11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 spans="1:26">
      <c r="A911" s="11"/>
      <c r="B911" s="11"/>
      <c r="C911" s="11"/>
      <c r="D911" s="11"/>
      <c r="E911" s="11"/>
      <c r="F911" s="11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 spans="1:26">
      <c r="A912" s="11"/>
      <c r="B912" s="11"/>
      <c r="C912" s="11"/>
      <c r="D912" s="11"/>
      <c r="E912" s="11"/>
      <c r="F912" s="11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 spans="1:26">
      <c r="A913" s="11"/>
      <c r="B913" s="11"/>
      <c r="C913" s="11"/>
      <c r="D913" s="11"/>
      <c r="E913" s="11"/>
      <c r="F913" s="11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 spans="1:26">
      <c r="A914" s="11"/>
      <c r="B914" s="11"/>
      <c r="C914" s="11"/>
      <c r="D914" s="11"/>
      <c r="E914" s="11"/>
      <c r="F914" s="11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 spans="1:26">
      <c r="A915" s="11"/>
      <c r="B915" s="11"/>
      <c r="C915" s="11"/>
      <c r="D915" s="11"/>
      <c r="E915" s="11"/>
      <c r="F915" s="11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 spans="1:26">
      <c r="A916" s="11"/>
      <c r="B916" s="11"/>
      <c r="C916" s="11"/>
      <c r="D916" s="11"/>
      <c r="E916" s="11"/>
      <c r="F916" s="11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 spans="1:26">
      <c r="A917" s="11"/>
      <c r="B917" s="11"/>
      <c r="C917" s="11"/>
      <c r="D917" s="11"/>
      <c r="E917" s="11"/>
      <c r="F917" s="11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 spans="1:26">
      <c r="A918" s="11"/>
      <c r="B918" s="11"/>
      <c r="C918" s="11"/>
      <c r="D918" s="11"/>
      <c r="E918" s="11"/>
      <c r="F918" s="11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 spans="1:26">
      <c r="A919" s="11"/>
      <c r="B919" s="11"/>
      <c r="C919" s="11"/>
      <c r="D919" s="11"/>
      <c r="E919" s="11"/>
      <c r="F919" s="11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 spans="1:26">
      <c r="A920" s="11"/>
      <c r="B920" s="11"/>
      <c r="C920" s="11"/>
      <c r="D920" s="11"/>
      <c r="E920" s="11"/>
      <c r="F920" s="11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 spans="1:26">
      <c r="A921" s="11"/>
      <c r="B921" s="11"/>
      <c r="C921" s="11"/>
      <c r="D921" s="11"/>
      <c r="E921" s="11"/>
      <c r="F921" s="11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 spans="1:26">
      <c r="A922" s="11"/>
      <c r="B922" s="11"/>
      <c r="C922" s="11"/>
      <c r="D922" s="11"/>
      <c r="E922" s="11"/>
      <c r="F922" s="11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 spans="1:26">
      <c r="A923" s="11"/>
      <c r="B923" s="11"/>
      <c r="C923" s="11"/>
      <c r="D923" s="11"/>
      <c r="E923" s="11"/>
      <c r="F923" s="11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 spans="1:26">
      <c r="A924" s="11"/>
      <c r="B924" s="11"/>
      <c r="C924" s="11"/>
      <c r="D924" s="11"/>
      <c r="E924" s="11"/>
      <c r="F924" s="11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 spans="1:26">
      <c r="A925" s="11"/>
      <c r="B925" s="11"/>
      <c r="C925" s="11"/>
      <c r="D925" s="11"/>
      <c r="E925" s="11"/>
      <c r="F925" s="11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 spans="1:26">
      <c r="A926" s="11"/>
      <c r="B926" s="11"/>
      <c r="C926" s="11"/>
      <c r="D926" s="11"/>
      <c r="E926" s="11"/>
      <c r="F926" s="11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 spans="1:26">
      <c r="A927" s="11"/>
      <c r="B927" s="11"/>
      <c r="C927" s="11"/>
      <c r="D927" s="11"/>
      <c r="E927" s="11"/>
      <c r="F927" s="11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 spans="1:26">
      <c r="A928" s="11"/>
      <c r="B928" s="11"/>
      <c r="C928" s="11"/>
      <c r="D928" s="11"/>
      <c r="E928" s="11"/>
      <c r="F928" s="11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 spans="1:26">
      <c r="A929" s="11"/>
      <c r="B929" s="11"/>
      <c r="C929" s="11"/>
      <c r="D929" s="11"/>
      <c r="E929" s="11"/>
      <c r="F929" s="11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 spans="1:26">
      <c r="A930" s="11"/>
      <c r="B930" s="11"/>
      <c r="C930" s="11"/>
      <c r="D930" s="11"/>
      <c r="E930" s="11"/>
      <c r="F930" s="11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 spans="1:26">
      <c r="A931" s="11"/>
      <c r="B931" s="11"/>
      <c r="C931" s="11"/>
      <c r="D931" s="11"/>
      <c r="E931" s="11"/>
      <c r="F931" s="11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 spans="1:26">
      <c r="A932" s="11"/>
      <c r="B932" s="11"/>
      <c r="C932" s="11"/>
      <c r="D932" s="11"/>
      <c r="E932" s="11"/>
      <c r="F932" s="11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 spans="1:26">
      <c r="A933" s="11"/>
      <c r="B933" s="11"/>
      <c r="C933" s="11"/>
      <c r="D933" s="11"/>
      <c r="E933" s="11"/>
      <c r="F933" s="11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 spans="1:26">
      <c r="A934" s="11"/>
      <c r="B934" s="11"/>
      <c r="C934" s="11"/>
      <c r="D934" s="11"/>
      <c r="E934" s="11"/>
      <c r="F934" s="11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 spans="1:26">
      <c r="A935" s="11"/>
      <c r="B935" s="11"/>
      <c r="C935" s="11"/>
      <c r="D935" s="11"/>
      <c r="E935" s="11"/>
      <c r="F935" s="11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 spans="1:26">
      <c r="A936" s="11"/>
      <c r="B936" s="11"/>
      <c r="C936" s="11"/>
      <c r="D936" s="11"/>
      <c r="E936" s="11"/>
      <c r="F936" s="11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 spans="1:26">
      <c r="A937" s="11"/>
      <c r="B937" s="11"/>
      <c r="C937" s="11"/>
      <c r="D937" s="11"/>
      <c r="E937" s="11"/>
      <c r="F937" s="11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 spans="1:26">
      <c r="A938" s="11"/>
      <c r="B938" s="11"/>
      <c r="C938" s="11"/>
      <c r="D938" s="11"/>
      <c r="E938" s="11"/>
      <c r="F938" s="11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 spans="1:26">
      <c r="A939" s="11"/>
      <c r="B939" s="11"/>
      <c r="C939" s="11"/>
      <c r="D939" s="11"/>
      <c r="E939" s="11"/>
      <c r="F939" s="11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 spans="1:26">
      <c r="A940" s="11"/>
      <c r="B940" s="11"/>
      <c r="C940" s="11"/>
      <c r="D940" s="11"/>
      <c r="E940" s="11"/>
      <c r="F940" s="11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 spans="1:26">
      <c r="A941" s="11"/>
      <c r="B941" s="11"/>
      <c r="C941" s="11"/>
      <c r="D941" s="11"/>
      <c r="E941" s="11"/>
      <c r="F941" s="11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 spans="1:26">
      <c r="A942" s="11"/>
      <c r="B942" s="11"/>
      <c r="C942" s="11"/>
      <c r="D942" s="11"/>
      <c r="E942" s="11"/>
      <c r="F942" s="11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 spans="1:26">
      <c r="A943" s="11"/>
      <c r="B943" s="11"/>
      <c r="C943" s="11"/>
      <c r="D943" s="11"/>
      <c r="E943" s="11"/>
      <c r="F943" s="11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 spans="1:26">
      <c r="A944" s="11"/>
      <c r="B944" s="11"/>
      <c r="C944" s="11"/>
      <c r="D944" s="11"/>
      <c r="E944" s="11"/>
      <c r="F944" s="11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 spans="1:26">
      <c r="A945" s="11"/>
      <c r="B945" s="11"/>
      <c r="C945" s="11"/>
      <c r="D945" s="11"/>
      <c r="E945" s="11"/>
      <c r="F945" s="11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 spans="1:26">
      <c r="A946" s="11"/>
      <c r="B946" s="11"/>
      <c r="C946" s="11"/>
      <c r="D946" s="11"/>
      <c r="E946" s="11"/>
      <c r="F946" s="11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 spans="1:26">
      <c r="A947" s="11"/>
      <c r="B947" s="11"/>
      <c r="C947" s="11"/>
      <c r="D947" s="11"/>
      <c r="E947" s="11"/>
      <c r="F947" s="11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 spans="1:26">
      <c r="A948" s="11"/>
      <c r="B948" s="11"/>
      <c r="C948" s="11"/>
      <c r="D948" s="11"/>
      <c r="E948" s="11"/>
      <c r="F948" s="11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 spans="1:26">
      <c r="A949" s="11"/>
      <c r="B949" s="11"/>
      <c r="C949" s="11"/>
      <c r="D949" s="11"/>
      <c r="E949" s="11"/>
      <c r="F949" s="11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 spans="1:26">
      <c r="A950" s="11"/>
      <c r="B950" s="11"/>
      <c r="C950" s="11"/>
      <c r="D950" s="11"/>
      <c r="E950" s="11"/>
      <c r="F950" s="11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 spans="1:26">
      <c r="A951" s="11"/>
      <c r="B951" s="11"/>
      <c r="C951" s="11"/>
      <c r="D951" s="11"/>
      <c r="E951" s="11"/>
      <c r="F951" s="11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 spans="1:26">
      <c r="A952" s="11"/>
      <c r="B952" s="11"/>
      <c r="C952" s="11"/>
      <c r="D952" s="11"/>
      <c r="E952" s="11"/>
      <c r="F952" s="11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 spans="1:26">
      <c r="A953" s="11"/>
      <c r="B953" s="11"/>
      <c r="C953" s="11"/>
      <c r="D953" s="11"/>
      <c r="E953" s="11"/>
      <c r="F953" s="11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 spans="1:26">
      <c r="A954" s="11"/>
      <c r="B954" s="11"/>
      <c r="C954" s="11"/>
      <c r="D954" s="11"/>
      <c r="E954" s="11"/>
      <c r="F954" s="11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 spans="1:26">
      <c r="A955" s="11"/>
      <c r="B955" s="11"/>
      <c r="C955" s="11"/>
      <c r="D955" s="11"/>
      <c r="E955" s="11"/>
      <c r="F955" s="11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 spans="1:26">
      <c r="A956" s="11"/>
      <c r="B956" s="11"/>
      <c r="C956" s="11"/>
      <c r="D956" s="11"/>
      <c r="E956" s="11"/>
      <c r="F956" s="11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 spans="1:26">
      <c r="A957" s="11"/>
      <c r="B957" s="11"/>
      <c r="C957" s="11"/>
      <c r="D957" s="11"/>
      <c r="E957" s="11"/>
      <c r="F957" s="11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 spans="1:26">
      <c r="A958" s="11"/>
      <c r="B958" s="11"/>
      <c r="C958" s="11"/>
      <c r="D958" s="11"/>
      <c r="E958" s="11"/>
      <c r="F958" s="11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 spans="1:26">
      <c r="A959" s="11"/>
      <c r="B959" s="11"/>
      <c r="C959" s="11"/>
      <c r="D959" s="11"/>
      <c r="E959" s="11"/>
      <c r="F959" s="11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 spans="1:26">
      <c r="A960" s="11"/>
      <c r="B960" s="11"/>
      <c r="C960" s="11"/>
      <c r="D960" s="11"/>
      <c r="E960" s="11"/>
      <c r="F960" s="11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 spans="1:26">
      <c r="A961" s="11"/>
      <c r="B961" s="11"/>
      <c r="C961" s="11"/>
      <c r="D961" s="11"/>
      <c r="E961" s="11"/>
      <c r="F961" s="11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 spans="1:26">
      <c r="A962" s="11"/>
      <c r="B962" s="11"/>
      <c r="C962" s="11"/>
      <c r="D962" s="11"/>
      <c r="E962" s="11"/>
      <c r="F962" s="11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 spans="1:26">
      <c r="A963" s="11"/>
      <c r="B963" s="11"/>
      <c r="C963" s="11"/>
      <c r="D963" s="11"/>
      <c r="E963" s="11"/>
      <c r="F963" s="11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 spans="1:26">
      <c r="A964" s="11"/>
      <c r="B964" s="11"/>
      <c r="C964" s="11"/>
      <c r="D964" s="11"/>
      <c r="E964" s="11"/>
      <c r="F964" s="11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 spans="1:26">
      <c r="A965" s="11"/>
      <c r="B965" s="11"/>
      <c r="C965" s="11"/>
      <c r="D965" s="11"/>
      <c r="E965" s="11"/>
      <c r="F965" s="11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 spans="1:26">
      <c r="A966" s="11"/>
      <c r="B966" s="11"/>
      <c r="C966" s="11"/>
      <c r="D966" s="11"/>
      <c r="E966" s="11"/>
      <c r="F966" s="11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 spans="1:26">
      <c r="A967" s="11"/>
      <c r="B967" s="11"/>
      <c r="C967" s="11"/>
      <c r="D967" s="11"/>
      <c r="E967" s="11"/>
      <c r="F967" s="11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 spans="1:26">
      <c r="A968" s="11"/>
      <c r="B968" s="11"/>
      <c r="C968" s="11"/>
      <c r="D968" s="11"/>
      <c r="E968" s="11"/>
      <c r="F968" s="11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 spans="1:26">
      <c r="A969" s="11"/>
      <c r="B969" s="11"/>
      <c r="C969" s="11"/>
      <c r="D969" s="11"/>
      <c r="E969" s="11"/>
      <c r="F969" s="11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 spans="1:26">
      <c r="A970" s="11"/>
      <c r="B970" s="11"/>
      <c r="C970" s="11"/>
      <c r="D970" s="11"/>
      <c r="E970" s="11"/>
      <c r="F970" s="11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 spans="1:26">
      <c r="A971" s="11"/>
      <c r="B971" s="11"/>
      <c r="C971" s="11"/>
      <c r="D971" s="11"/>
      <c r="E971" s="11"/>
      <c r="F971" s="11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 spans="1:26">
      <c r="A972" s="11"/>
      <c r="B972" s="11"/>
      <c r="C972" s="11"/>
      <c r="D972" s="11"/>
      <c r="E972" s="11"/>
      <c r="F972" s="11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 spans="1:26">
      <c r="A973" s="11"/>
      <c r="B973" s="11"/>
      <c r="C973" s="11"/>
      <c r="D973" s="11"/>
      <c r="E973" s="11"/>
      <c r="F973" s="11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 spans="1:26">
      <c r="A974" s="11"/>
      <c r="B974" s="11"/>
      <c r="C974" s="11"/>
      <c r="D974" s="11"/>
      <c r="E974" s="11"/>
      <c r="F974" s="11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 spans="1:26">
      <c r="A975" s="11"/>
      <c r="B975" s="11"/>
      <c r="C975" s="11"/>
      <c r="D975" s="11"/>
      <c r="E975" s="11"/>
      <c r="F975" s="11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 spans="1:26">
      <c r="A976" s="11"/>
      <c r="B976" s="11"/>
      <c r="C976" s="11"/>
      <c r="D976" s="11"/>
      <c r="E976" s="11"/>
      <c r="F976" s="11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 spans="1:26">
      <c r="A977" s="11"/>
      <c r="B977" s="11"/>
      <c r="C977" s="11"/>
      <c r="D977" s="11"/>
      <c r="E977" s="11"/>
      <c r="F977" s="11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 spans="1:26">
      <c r="A978" s="11"/>
      <c r="B978" s="11"/>
      <c r="C978" s="11"/>
      <c r="D978" s="11"/>
      <c r="E978" s="11"/>
      <c r="F978" s="11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 spans="1:26">
      <c r="A979" s="11"/>
      <c r="B979" s="11"/>
      <c r="C979" s="11"/>
      <c r="D979" s="11"/>
      <c r="E979" s="11"/>
      <c r="F979" s="11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 spans="1:26">
      <c r="A980" s="11"/>
      <c r="B980" s="11"/>
      <c r="C980" s="11"/>
      <c r="D980" s="11"/>
      <c r="E980" s="11"/>
      <c r="F980" s="11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 spans="1:26">
      <c r="A981" s="11"/>
      <c r="B981" s="11"/>
      <c r="C981" s="11"/>
      <c r="D981" s="11"/>
      <c r="E981" s="11"/>
      <c r="F981" s="11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 spans="1:26">
      <c r="A982" s="11"/>
      <c r="B982" s="11"/>
      <c r="C982" s="11"/>
      <c r="D982" s="11"/>
      <c r="E982" s="11"/>
      <c r="F982" s="11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 spans="1:26">
      <c r="A983" s="11"/>
      <c r="B983" s="11"/>
      <c r="C983" s="11"/>
      <c r="D983" s="11"/>
      <c r="E983" s="11"/>
      <c r="F983" s="11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 spans="1:26">
      <c r="A984" s="11"/>
      <c r="B984" s="11"/>
      <c r="C984" s="11"/>
      <c r="D984" s="11"/>
      <c r="E984" s="11"/>
      <c r="F984" s="11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 spans="1:26">
      <c r="A985" s="11"/>
      <c r="B985" s="11"/>
      <c r="C985" s="11"/>
      <c r="D985" s="11"/>
      <c r="E985" s="11"/>
      <c r="F985" s="11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 spans="1:26">
      <c r="A986" s="11"/>
      <c r="B986" s="11"/>
      <c r="C986" s="11"/>
      <c r="D986" s="11"/>
      <c r="E986" s="11"/>
      <c r="F986" s="11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 spans="1:26">
      <c r="A987" s="11"/>
      <c r="B987" s="11"/>
      <c r="C987" s="11"/>
      <c r="D987" s="11"/>
      <c r="E987" s="11"/>
      <c r="F987" s="11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 spans="1:26">
      <c r="A988" s="11"/>
      <c r="B988" s="11"/>
      <c r="C988" s="11"/>
      <c r="D988" s="11"/>
      <c r="E988" s="11"/>
      <c r="F988" s="11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 spans="1:26">
      <c r="A989" s="11"/>
      <c r="B989" s="11"/>
      <c r="C989" s="11"/>
      <c r="D989" s="11"/>
      <c r="E989" s="11"/>
      <c r="F989" s="11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 spans="1:26">
      <c r="A990" s="11"/>
      <c r="B990" s="11"/>
      <c r="C990" s="11"/>
      <c r="D990" s="11"/>
      <c r="E990" s="11"/>
      <c r="F990" s="11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 spans="1:26">
      <c r="A991" s="11"/>
      <c r="B991" s="11"/>
      <c r="C991" s="11"/>
      <c r="D991" s="11"/>
      <c r="E991" s="11"/>
      <c r="F991" s="11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 spans="1:26">
      <c r="A992" s="11"/>
      <c r="B992" s="11"/>
      <c r="C992" s="11"/>
      <c r="D992" s="11"/>
      <c r="E992" s="11"/>
      <c r="F992" s="11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 spans="1:26">
      <c r="A993" s="11"/>
      <c r="B993" s="11"/>
      <c r="C993" s="11"/>
      <c r="D993" s="11"/>
      <c r="E993" s="11"/>
      <c r="F993" s="11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 spans="1:26">
      <c r="A994" s="11"/>
      <c r="B994" s="11"/>
      <c r="C994" s="11"/>
      <c r="D994" s="11"/>
      <c r="E994" s="11"/>
      <c r="F994" s="11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 spans="1:26">
      <c r="A995" s="11"/>
      <c r="B995" s="11"/>
      <c r="C995" s="11"/>
      <c r="D995" s="11"/>
      <c r="E995" s="11"/>
      <c r="F995" s="11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 spans="1:26">
      <c r="A996" s="11"/>
      <c r="B996" s="11"/>
      <c r="C996" s="11"/>
      <c r="D996" s="11"/>
      <c r="E996" s="11"/>
      <c r="F996" s="11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 spans="1:26">
      <c r="A997" s="11"/>
      <c r="B997" s="11"/>
      <c r="C997" s="11"/>
      <c r="D997" s="11"/>
      <c r="E997" s="11"/>
      <c r="F997" s="11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 spans="1:26">
      <c r="A998" s="11"/>
      <c r="B998" s="11"/>
      <c r="C998" s="11"/>
      <c r="D998" s="11"/>
      <c r="E998" s="11"/>
      <c r="F998" s="11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 spans="1:26">
      <c r="A999" s="11"/>
      <c r="B999" s="11"/>
      <c r="C999" s="11"/>
      <c r="D999" s="11"/>
      <c r="E999" s="11"/>
      <c r="F999" s="11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 spans="1:26">
      <c r="A1000" s="11"/>
      <c r="B1000" s="11"/>
      <c r="C1000" s="11"/>
      <c r="D1000" s="11"/>
      <c r="E1000" s="11"/>
      <c r="F1000" s="11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pageMargins left="0.75" right="0.75" top="1" bottom="1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14.4296875" defaultRowHeight="15" customHeight="1" outlineLevelCol="4"/>
  <cols>
    <col min="1" max="1" width="50" customWidth="1"/>
    <col min="2" max="5" width="13" customWidth="1"/>
    <col min="6" max="26" width="8.7109375" customWidth="1"/>
  </cols>
  <sheetData>
    <row r="1" ht="17.25" customHeight="1" spans="1:5">
      <c r="A1" s="19" t="s">
        <v>10</v>
      </c>
      <c r="B1" s="11"/>
      <c r="C1" s="11"/>
      <c r="D1" s="11"/>
      <c r="E1" s="11"/>
    </row>
    <row r="2" ht="14" spans="1:5">
      <c r="A2" s="11"/>
      <c r="B2" s="11"/>
      <c r="C2" s="11"/>
      <c r="D2" s="11"/>
      <c r="E2" s="11"/>
    </row>
    <row r="3" ht="14" spans="1:5">
      <c r="A3" s="11"/>
      <c r="B3" s="11"/>
      <c r="C3" s="11"/>
      <c r="D3" s="11"/>
      <c r="E3" s="11"/>
    </row>
    <row r="4" customHeight="1" spans="1:5">
      <c r="A4" s="1" t="s">
        <v>11</v>
      </c>
      <c r="B4" s="39">
        <f>PL!B4</f>
        <v>46023</v>
      </c>
      <c r="C4" s="39">
        <f>PL!C4</f>
        <v>46054</v>
      </c>
      <c r="D4" s="39">
        <f>PL!D4</f>
        <v>46082</v>
      </c>
      <c r="E4" s="39">
        <f>PL!E4</f>
        <v>46113</v>
      </c>
    </row>
    <row r="5" customHeight="1" spans="1:5">
      <c r="A5" s="19" t="s">
        <v>12</v>
      </c>
      <c r="B5" s="11"/>
      <c r="C5" s="11"/>
      <c r="D5" s="11"/>
      <c r="E5" s="11"/>
    </row>
    <row r="6" customHeight="1" spans="1:5">
      <c r="A6" s="11" t="s">
        <v>13</v>
      </c>
      <c r="B6" s="14">
        <f>SUMIFS(Ledger!$D$2:$D$500,Ledger!$B$2:$B$500,1000,Ledger!$I$2:$I$500,"&lt;="&amp;B$4)-SUMIFS(Ledger!$E$2:$E$500,Ledger!$B$2:$B$500,1000,Ledger!$I$2:$I$500,"&lt;="&amp;B$4)</f>
        <v>1700</v>
      </c>
      <c r="C6" s="14">
        <f>SUMIFS(Ledger!$D$2:$D$500,Ledger!$B$2:$B$500,1000,Ledger!$I$2:$I$500,"&lt;="&amp;C$4)-SUMIFS(Ledger!$E$2:$E$500,Ledger!$B$2:$B$500,1000,Ledger!$I$2:$I$500,"&lt;="&amp;C$4)</f>
        <v>14400</v>
      </c>
      <c r="D6" s="14">
        <f>SUMIFS(Ledger!$D$2:$D$500,Ledger!$B$2:$B$500,1000,Ledger!$I$2:$I$500,"&lt;="&amp;D$4)-SUMIFS(Ledger!$E$2:$E$500,Ledger!$B$2:$B$500,1000,Ledger!$I$2:$I$500,"&lt;="&amp;D$4)</f>
        <v>18500</v>
      </c>
      <c r="E6" s="14">
        <f>SUMIFS(Ledger!$D$2:$D$500,Ledger!$B$2:$B$500,1000,Ledger!$I$2:$I$500,"&lt;="&amp;E$4)-SUMIFS(Ledger!$E$2:$E$500,Ledger!$B$2:$B$500,1000,Ledger!$I$2:$I$500,"&lt;="&amp;E$4)</f>
        <v>24700</v>
      </c>
    </row>
    <row r="7" customHeight="1" spans="1:5">
      <c r="A7" s="11" t="s">
        <v>14</v>
      </c>
      <c r="B7" s="14">
        <f>SUMIFS(Ledger!$D$2:$D$500,Ledger!$B$2:$B$500,1100,Ledger!$I$2:$I$500,"&lt;="&amp;B$4)-SUMIFS(Ledger!$E$2:$E$500,Ledger!$B$2:$B$500,1100,Ledger!$I$2:$I$500,"&lt;="&amp;B$4)</f>
        <v>0</v>
      </c>
      <c r="C7" s="14">
        <f>SUMIFS(Ledger!$D$2:$D$500,Ledger!$B$2:$B$500,1100,Ledger!$I$2:$I$500,"&lt;="&amp;C$4)-SUMIFS(Ledger!$E$2:$E$500,Ledger!$B$2:$B$500,1100,Ledger!$I$2:$I$500,"&lt;="&amp;C$4)</f>
        <v>0</v>
      </c>
      <c r="D7" s="14">
        <f>SUMIFS(Ledger!$D$2:$D$500,Ledger!$B$2:$B$500,1100,Ledger!$I$2:$I$500,"&lt;="&amp;D$4)-SUMIFS(Ledger!$E$2:$E$500,Ledger!$B$2:$B$500,1100,Ledger!$I$2:$I$500,"&lt;="&amp;D$4)</f>
        <v>5000</v>
      </c>
      <c r="E7" s="14">
        <f>SUMIFS(Ledger!$D$2:$D$500,Ledger!$B$2:$B$500,1100,Ledger!$I$2:$I$500,"&lt;="&amp;E$4)-SUMIFS(Ledger!$E$2:$E$500,Ledger!$B$2:$B$500,1100,Ledger!$I$2:$I$500,"&lt;="&amp;E$4)</f>
        <v>2000</v>
      </c>
    </row>
    <row r="8" customHeight="1" spans="1:5">
      <c r="A8" s="45" t="s">
        <v>15</v>
      </c>
      <c r="B8" s="27">
        <f t="shared" ref="B8:E8" si="0">B6+B7</f>
        <v>1700</v>
      </c>
      <c r="C8" s="27">
        <f t="shared" si="0"/>
        <v>14400</v>
      </c>
      <c r="D8" s="27">
        <f t="shared" si="0"/>
        <v>23500</v>
      </c>
      <c r="E8" s="27">
        <f t="shared" si="0"/>
        <v>26700</v>
      </c>
    </row>
    <row r="9" ht="14" spans="1:5">
      <c r="A9" s="11"/>
      <c r="B9" s="11"/>
      <c r="C9" s="11"/>
      <c r="D9" s="11"/>
      <c r="E9" s="11"/>
    </row>
    <row r="10" customHeight="1" spans="1:5">
      <c r="A10" s="19" t="s">
        <v>16</v>
      </c>
      <c r="B10" s="11"/>
      <c r="C10" s="11"/>
      <c r="D10" s="11"/>
      <c r="E10" s="11"/>
    </row>
    <row r="11" customHeight="1" spans="1:5">
      <c r="A11" s="11" t="s">
        <v>17</v>
      </c>
      <c r="B11" s="14">
        <f>SUMIFS(Ledger!$E$2:$E$500,Ledger!$B$2:$B$500,2000,Ledger!$I$2:$I$500,"&lt;="&amp;B$4)-SUMIFS(Ledger!$D$2:$D$500,Ledger!$B$2:$B$500,2000,Ledger!$I$2:$I$500,"&lt;="&amp;B$4)</f>
        <v>0</v>
      </c>
      <c r="C11" s="14">
        <f>SUMIFS(Ledger!$E$2:$E$500,Ledger!$B$2:$B$500,2000,Ledger!$I$2:$I$500,"&lt;="&amp;C$4)-SUMIFS(Ledger!$D$2:$D$500,Ledger!$B$2:$B$500,2000,Ledger!$I$2:$I$500,"&lt;="&amp;C$4)</f>
        <v>0</v>
      </c>
      <c r="D11" s="14">
        <f>SUMIFS(Ledger!$E$2:$E$500,Ledger!$B$2:$B$500,2000,Ledger!$I$2:$I$500,"&lt;="&amp;D$4)-SUMIFS(Ledger!$D$2:$D$500,Ledger!$B$2:$B$500,2000,Ledger!$I$2:$I$500,"&lt;="&amp;D$4)</f>
        <v>1200</v>
      </c>
      <c r="E11" s="14">
        <f>SUMIFS(Ledger!$E$2:$E$500,Ledger!$B$2:$B$500,2000,Ledger!$I$2:$I$500,"&lt;="&amp;E$4)-SUMIFS(Ledger!$D$2:$D$500,Ledger!$B$2:$B$500,2000,Ledger!$I$2:$I$500,"&lt;="&amp;E$4)</f>
        <v>500</v>
      </c>
    </row>
    <row r="12" customHeight="1" spans="1:5">
      <c r="A12" s="11" t="s">
        <v>18</v>
      </c>
      <c r="B12" s="14">
        <f>SUMIFS(Ledger!$E$2:$E$500,Ledger!$B$2:$B$500,2500,Ledger!$I$2:$I$500,"&lt;="&amp;B$4)-SUMIFS(Ledger!$D$2:$D$500,Ledger!$B$2:$B$500,2500,Ledger!$I$2:$I$500,"&lt;="&amp;B$4)</f>
        <v>0</v>
      </c>
      <c r="C12" s="14">
        <f>SUMIFS(Ledger!$E$2:$E$500,Ledger!$B$2:$B$500,2500,Ledger!$I$2:$I$500,"&lt;="&amp;C$4)-SUMIFS(Ledger!$D$2:$D$500,Ledger!$B$2:$B$500,2500,Ledger!$I$2:$I$500,"&lt;="&amp;C$4)</f>
        <v>10000</v>
      </c>
      <c r="D12" s="14">
        <f>SUMIFS(Ledger!$E$2:$E$500,Ledger!$B$2:$B$500,2500,Ledger!$I$2:$I$500,"&lt;="&amp;D$4)-SUMIFS(Ledger!$D$2:$D$500,Ledger!$B$2:$B$500,2500,Ledger!$I$2:$I$500,"&lt;="&amp;D$4)</f>
        <v>10000</v>
      </c>
      <c r="E12" s="14">
        <f>SUMIFS(Ledger!$E$2:$E$500,Ledger!$B$2:$B$500,2500,Ledger!$I$2:$I$500,"&lt;="&amp;E$4)-SUMIFS(Ledger!$D$2:$D$500,Ledger!$B$2:$B$500,2500,Ledger!$I$2:$I$500,"&lt;="&amp;E$4)</f>
        <v>10000</v>
      </c>
    </row>
    <row r="13" customHeight="1" spans="1:5">
      <c r="A13" s="45" t="s">
        <v>19</v>
      </c>
      <c r="B13" s="27">
        <f t="shared" ref="B13:E13" si="1">B11+B12</f>
        <v>0</v>
      </c>
      <c r="C13" s="27">
        <f t="shared" si="1"/>
        <v>10000</v>
      </c>
      <c r="D13" s="27">
        <f t="shared" si="1"/>
        <v>11200</v>
      </c>
      <c r="E13" s="27">
        <f t="shared" si="1"/>
        <v>10500</v>
      </c>
    </row>
    <row r="14" ht="14" spans="1:5">
      <c r="A14" s="11"/>
      <c r="B14" s="11"/>
      <c r="C14" s="11"/>
      <c r="D14" s="11"/>
      <c r="E14" s="11"/>
    </row>
    <row r="15" customHeight="1" spans="1:5">
      <c r="A15" s="19" t="s">
        <v>20</v>
      </c>
      <c r="B15" s="11"/>
      <c r="C15" s="11"/>
      <c r="D15" s="11"/>
      <c r="E15" s="11"/>
    </row>
    <row r="16" customHeight="1" spans="1:5">
      <c r="A16" s="11" t="s">
        <v>21</v>
      </c>
      <c r="B16" s="21">
        <f>SUM(PL!$B$9:B$9)</f>
        <v>1700</v>
      </c>
      <c r="C16" s="21">
        <f>SUM(PL!$B$9:C$9)</f>
        <v>4400</v>
      </c>
      <c r="D16" s="21">
        <f>SUM(PL!$B$9:D$9)</f>
        <v>12300</v>
      </c>
      <c r="E16" s="21">
        <f>SUM(PL!$B$9:E$9)</f>
        <v>16200</v>
      </c>
    </row>
    <row r="17" customHeight="1" spans="1:5">
      <c r="A17" s="45" t="s">
        <v>22</v>
      </c>
      <c r="B17" s="27">
        <f t="shared" ref="B17:E17" si="2">B16</f>
        <v>1700</v>
      </c>
      <c r="C17" s="27">
        <f t="shared" si="2"/>
        <v>4400</v>
      </c>
      <c r="D17" s="27">
        <f t="shared" si="2"/>
        <v>12300</v>
      </c>
      <c r="E17" s="27">
        <f t="shared" si="2"/>
        <v>16200</v>
      </c>
    </row>
    <row r="18" ht="14" spans="1:5">
      <c r="A18" s="11"/>
      <c r="B18" s="11"/>
      <c r="C18" s="11"/>
      <c r="D18" s="11"/>
      <c r="E18" s="11"/>
    </row>
    <row r="19" customHeight="1" spans="1:5">
      <c r="A19" s="19" t="s">
        <v>23</v>
      </c>
      <c r="B19" s="25">
        <f t="shared" ref="B19:E19" si="3">B13+B17</f>
        <v>1700</v>
      </c>
      <c r="C19" s="25">
        <f t="shared" si="3"/>
        <v>14400</v>
      </c>
      <c r="D19" s="25">
        <f t="shared" si="3"/>
        <v>23500</v>
      </c>
      <c r="E19" s="25">
        <f t="shared" si="3"/>
        <v>26700</v>
      </c>
    </row>
    <row r="20" customHeight="1" spans="1:5">
      <c r="A20" s="46" t="s">
        <v>24</v>
      </c>
      <c r="B20" s="32">
        <f t="shared" ref="B20:E20" si="4">B8-B19</f>
        <v>0</v>
      </c>
      <c r="C20" s="32">
        <f t="shared" si="4"/>
        <v>0</v>
      </c>
      <c r="D20" s="32">
        <f t="shared" si="4"/>
        <v>0</v>
      </c>
      <c r="E20" s="32">
        <f t="shared" si="4"/>
        <v>0</v>
      </c>
    </row>
    <row r="21" ht="15.75" customHeight="1" spans="1:5">
      <c r="A21" s="11"/>
      <c r="B21" s="11"/>
      <c r="C21" s="11"/>
      <c r="D21" s="11"/>
      <c r="E21" s="11"/>
    </row>
    <row r="22" ht="15.75" customHeight="1" spans="1:5">
      <c r="A22" s="11"/>
      <c r="B22" s="11"/>
      <c r="C22" s="11"/>
      <c r="D22" s="11"/>
      <c r="E22" s="11"/>
    </row>
    <row r="23" customHeight="1" spans="1:5">
      <c r="A23" s="18" t="s">
        <v>25</v>
      </c>
      <c r="B23" s="11"/>
      <c r="C23" s="11"/>
      <c r="D23" s="11"/>
      <c r="E23" s="11"/>
    </row>
    <row r="24" customHeight="1" spans="1:5">
      <c r="A24" s="18" t="s">
        <v>26</v>
      </c>
      <c r="B24" s="11"/>
      <c r="C24" s="11"/>
      <c r="D24" s="11"/>
      <c r="E24" s="11"/>
    </row>
    <row r="25" customHeight="1" spans="1:5">
      <c r="A25" s="18" t="s">
        <v>27</v>
      </c>
      <c r="B25" s="11"/>
      <c r="C25" s="11"/>
      <c r="D25" s="11"/>
      <c r="E25" s="11"/>
    </row>
    <row r="26" ht="15.75" customHeight="1" spans="1:5">
      <c r="A26" s="11"/>
      <c r="B26" s="11"/>
      <c r="C26" s="11"/>
      <c r="D26" s="11"/>
      <c r="E26" s="11"/>
    </row>
    <row r="27" ht="15.75" customHeight="1" spans="1:5">
      <c r="A27" s="11"/>
      <c r="B27" s="11"/>
      <c r="C27" s="11"/>
      <c r="D27" s="11"/>
      <c r="E27" s="11"/>
    </row>
    <row r="28" ht="15.75" customHeight="1" spans="1:5">
      <c r="A28" s="9"/>
      <c r="B28" s="9"/>
      <c r="C28" s="9"/>
      <c r="D28" s="9"/>
      <c r="E28" s="9"/>
    </row>
    <row r="29" ht="15.75" customHeight="1" spans="1:5">
      <c r="A29" s="9"/>
      <c r="B29" s="9"/>
      <c r="C29" s="9"/>
      <c r="D29" s="9"/>
      <c r="E29" s="9"/>
    </row>
    <row r="30" ht="15.75" customHeight="1" spans="1:5">
      <c r="A30" s="9"/>
      <c r="B30" s="9"/>
      <c r="C30" s="9"/>
      <c r="D30" s="9"/>
      <c r="E30" s="9"/>
    </row>
    <row r="31" ht="15.75" customHeight="1" spans="1:5">
      <c r="A31" s="9"/>
      <c r="B31" s="9"/>
      <c r="C31" s="9"/>
      <c r="D31" s="9"/>
      <c r="E31" s="9"/>
    </row>
    <row r="32" ht="15.75" customHeight="1" spans="1:5">
      <c r="A32" s="9"/>
      <c r="B32" s="9"/>
      <c r="C32" s="9"/>
      <c r="D32" s="9"/>
      <c r="E32" s="9"/>
    </row>
    <row r="33" ht="15.75" customHeight="1" spans="1:5">
      <c r="A33" s="9"/>
      <c r="B33" s="9"/>
      <c r="C33" s="9"/>
      <c r="D33" s="9"/>
      <c r="E33" s="9"/>
    </row>
    <row r="34" ht="15.75" customHeight="1" spans="1:5">
      <c r="A34" s="9"/>
      <c r="B34" s="9"/>
      <c r="C34" s="9"/>
      <c r="D34" s="9"/>
      <c r="E34" s="9"/>
    </row>
    <row r="35" ht="15.75" customHeight="1" spans="1:5">
      <c r="A35" s="9"/>
      <c r="B35" s="9"/>
      <c r="C35" s="9"/>
      <c r="D35" s="9"/>
      <c r="E35" s="9"/>
    </row>
    <row r="36" ht="15.75" customHeight="1" spans="1:5">
      <c r="A36" s="9"/>
      <c r="B36" s="9"/>
      <c r="C36" s="9"/>
      <c r="D36" s="9"/>
      <c r="E36" s="9"/>
    </row>
    <row r="37" ht="15.75" customHeight="1" spans="1:5">
      <c r="A37" s="9"/>
      <c r="B37" s="9"/>
      <c r="C37" s="9"/>
      <c r="D37" s="9"/>
      <c r="E37" s="9"/>
    </row>
    <row r="38" ht="15.75" customHeight="1" spans="1:5">
      <c r="A38" s="9"/>
      <c r="B38" s="9"/>
      <c r="C38" s="9"/>
      <c r="D38" s="9"/>
      <c r="E38" s="9"/>
    </row>
    <row r="39" ht="15.75" customHeight="1" spans="1:5">
      <c r="A39" s="9"/>
      <c r="B39" s="9"/>
      <c r="C39" s="9"/>
      <c r="D39" s="9"/>
      <c r="E39" s="9"/>
    </row>
    <row r="40" ht="15.75" customHeight="1" spans="1:5">
      <c r="A40" s="9"/>
      <c r="B40" s="9"/>
      <c r="C40" s="9"/>
      <c r="D40" s="9"/>
      <c r="E40" s="9"/>
    </row>
    <row r="41" ht="15.75" customHeight="1" spans="1:5">
      <c r="A41" s="9"/>
      <c r="B41" s="9"/>
      <c r="C41" s="9"/>
      <c r="D41" s="9"/>
      <c r="E41" s="9"/>
    </row>
    <row r="42" ht="15.75" customHeight="1" spans="1:5">
      <c r="A42" s="9"/>
      <c r="B42" s="9"/>
      <c r="C42" s="9"/>
      <c r="D42" s="9"/>
      <c r="E42" s="9"/>
    </row>
    <row r="43" ht="15.75" customHeight="1" spans="1:5">
      <c r="A43" s="9"/>
      <c r="B43" s="9"/>
      <c r="C43" s="9"/>
      <c r="D43" s="9"/>
      <c r="E43" s="9"/>
    </row>
    <row r="44" ht="15.75" customHeight="1" spans="1:5">
      <c r="A44" s="9"/>
      <c r="B44" s="9"/>
      <c r="C44" s="9"/>
      <c r="D44" s="9"/>
      <c r="E44" s="9"/>
    </row>
    <row r="45" ht="15.75" customHeight="1" spans="1:5">
      <c r="A45" s="9"/>
      <c r="B45" s="9"/>
      <c r="C45" s="9"/>
      <c r="D45" s="9"/>
      <c r="E45" s="9"/>
    </row>
    <row r="46" ht="15.75" customHeight="1" spans="1:5">
      <c r="A46" s="9"/>
      <c r="B46" s="9"/>
      <c r="C46" s="9"/>
      <c r="D46" s="9"/>
      <c r="E46" s="9"/>
    </row>
    <row r="47" ht="15.75" customHeight="1" spans="1:5">
      <c r="A47" s="9"/>
      <c r="B47" s="9"/>
      <c r="C47" s="9"/>
      <c r="D47" s="9"/>
      <c r="E47" s="9"/>
    </row>
    <row r="48" ht="15.75" customHeight="1" spans="1:5">
      <c r="A48" s="9"/>
      <c r="B48" s="9"/>
      <c r="C48" s="9"/>
      <c r="D48" s="9"/>
      <c r="E48" s="9"/>
    </row>
    <row r="49" ht="15.75" customHeight="1" spans="1:5">
      <c r="A49" s="9"/>
      <c r="B49" s="9"/>
      <c r="C49" s="9"/>
      <c r="D49" s="9"/>
      <c r="E49" s="9"/>
    </row>
    <row r="50" ht="15.75" customHeight="1" spans="1:5">
      <c r="A50" s="9"/>
      <c r="B50" s="9"/>
      <c r="C50" s="9"/>
      <c r="D50" s="9"/>
      <c r="E50" s="9"/>
    </row>
    <row r="51" ht="15.75" customHeight="1" spans="1:5">
      <c r="A51" s="9"/>
      <c r="B51" s="9"/>
      <c r="C51" s="9"/>
      <c r="D51" s="9"/>
      <c r="E51" s="9"/>
    </row>
    <row r="52" ht="15.75" customHeight="1" spans="1:5">
      <c r="A52" s="9"/>
      <c r="B52" s="9"/>
      <c r="C52" s="9"/>
      <c r="D52" s="9"/>
      <c r="E52" s="9"/>
    </row>
    <row r="53" ht="15.75" customHeight="1" spans="1:5">
      <c r="A53" s="9"/>
      <c r="B53" s="9"/>
      <c r="C53" s="9"/>
      <c r="D53" s="9"/>
      <c r="E53" s="9"/>
    </row>
    <row r="54" ht="15.75" customHeight="1" spans="1:5">
      <c r="A54" s="9"/>
      <c r="B54" s="9"/>
      <c r="C54" s="9"/>
      <c r="D54" s="9"/>
      <c r="E54" s="9"/>
    </row>
    <row r="55" ht="15.75" customHeight="1" spans="1:5">
      <c r="A55" s="9"/>
      <c r="B55" s="9"/>
      <c r="C55" s="9"/>
      <c r="D55" s="9"/>
      <c r="E55" s="9"/>
    </row>
    <row r="56" ht="15.75" customHeight="1" spans="1:5">
      <c r="A56" s="9"/>
      <c r="B56" s="9"/>
      <c r="C56" s="9"/>
      <c r="D56" s="9"/>
      <c r="E56" s="9"/>
    </row>
    <row r="57" ht="15.75" customHeight="1" spans="1:5">
      <c r="A57" s="9"/>
      <c r="B57" s="9"/>
      <c r="C57" s="9"/>
      <c r="D57" s="9"/>
      <c r="E57" s="9"/>
    </row>
    <row r="58" ht="15.75" customHeight="1" spans="1:5">
      <c r="A58" s="9"/>
      <c r="B58" s="9"/>
      <c r="C58" s="9"/>
      <c r="D58" s="9"/>
      <c r="E58" s="9"/>
    </row>
    <row r="59" ht="15.75" customHeight="1" spans="1:5">
      <c r="A59" s="9"/>
      <c r="B59" s="9"/>
      <c r="C59" s="9"/>
      <c r="D59" s="9"/>
      <c r="E59" s="9"/>
    </row>
    <row r="60" ht="15.75" customHeight="1" spans="1:5">
      <c r="A60" s="9"/>
      <c r="B60" s="9"/>
      <c r="C60" s="9"/>
      <c r="D60" s="9"/>
      <c r="E60" s="9"/>
    </row>
    <row r="61" ht="15.75" customHeight="1" spans="1:5">
      <c r="A61" s="9"/>
      <c r="B61" s="9"/>
      <c r="C61" s="9"/>
      <c r="D61" s="9"/>
      <c r="E61" s="9"/>
    </row>
    <row r="62" ht="15.75" customHeight="1" spans="1:5">
      <c r="A62" s="9"/>
      <c r="B62" s="9"/>
      <c r="C62" s="9"/>
      <c r="D62" s="9"/>
      <c r="E62" s="9"/>
    </row>
    <row r="63" ht="15.75" customHeight="1" spans="1:5">
      <c r="A63" s="9"/>
      <c r="B63" s="9"/>
      <c r="C63" s="9"/>
      <c r="D63" s="9"/>
      <c r="E63" s="9"/>
    </row>
    <row r="64" ht="15.75" customHeight="1" spans="1:5">
      <c r="A64" s="9"/>
      <c r="B64" s="9"/>
      <c r="C64" s="9"/>
      <c r="D64" s="9"/>
      <c r="E64" s="9"/>
    </row>
    <row r="65" ht="15.75" customHeight="1" spans="1:5">
      <c r="A65" s="9"/>
      <c r="B65" s="9"/>
      <c r="C65" s="9"/>
      <c r="D65" s="9"/>
      <c r="E65" s="9"/>
    </row>
    <row r="66" ht="15.75" customHeight="1" spans="1:5">
      <c r="A66" s="9"/>
      <c r="B66" s="9"/>
      <c r="C66" s="9"/>
      <c r="D66" s="9"/>
      <c r="E66" s="9"/>
    </row>
    <row r="67" ht="15.75" customHeight="1" spans="1:5">
      <c r="A67" s="9"/>
      <c r="B67" s="9"/>
      <c r="C67" s="9"/>
      <c r="D67" s="9"/>
      <c r="E67" s="9"/>
    </row>
    <row r="68" ht="15.75" customHeight="1" spans="1:5">
      <c r="A68" s="9"/>
      <c r="B68" s="9"/>
      <c r="C68" s="9"/>
      <c r="D68" s="9"/>
      <c r="E68" s="9"/>
    </row>
    <row r="69" ht="15.75" customHeight="1" spans="1:5">
      <c r="A69" s="9"/>
      <c r="B69" s="9"/>
      <c r="C69" s="9"/>
      <c r="D69" s="9"/>
      <c r="E69" s="9"/>
    </row>
    <row r="70" ht="15.75" customHeight="1" spans="1:5">
      <c r="A70" s="9"/>
      <c r="B70" s="9"/>
      <c r="C70" s="9"/>
      <c r="D70" s="9"/>
      <c r="E70" s="9"/>
    </row>
    <row r="71" ht="15.75" customHeight="1" spans="1:5">
      <c r="A71" s="9"/>
      <c r="B71" s="9"/>
      <c r="C71" s="9"/>
      <c r="D71" s="9"/>
      <c r="E71" s="9"/>
    </row>
    <row r="72" ht="15.75" customHeight="1" spans="1:5">
      <c r="A72" s="9"/>
      <c r="B72" s="9"/>
      <c r="C72" s="9"/>
      <c r="D72" s="9"/>
      <c r="E72" s="9"/>
    </row>
    <row r="73" ht="15.75" customHeight="1" spans="1:5">
      <c r="A73" s="9"/>
      <c r="B73" s="9"/>
      <c r="C73" s="9"/>
      <c r="D73" s="9"/>
      <c r="E73" s="9"/>
    </row>
    <row r="74" ht="15.75" customHeight="1" spans="1:5">
      <c r="A74" s="9"/>
      <c r="B74" s="9"/>
      <c r="C74" s="9"/>
      <c r="D74" s="9"/>
      <c r="E74" s="9"/>
    </row>
    <row r="75" ht="15.75" customHeight="1" spans="1:5">
      <c r="A75" s="9"/>
      <c r="B75" s="9"/>
      <c r="C75" s="9"/>
      <c r="D75" s="9"/>
      <c r="E75" s="9"/>
    </row>
    <row r="76" ht="15.75" customHeight="1" spans="1:5">
      <c r="A76" s="9"/>
      <c r="B76" s="9"/>
      <c r="C76" s="9"/>
      <c r="D76" s="9"/>
      <c r="E76" s="9"/>
    </row>
    <row r="77" ht="15.75" customHeight="1" spans="1:5">
      <c r="A77" s="9"/>
      <c r="B77" s="9"/>
      <c r="C77" s="9"/>
      <c r="D77" s="9"/>
      <c r="E77" s="9"/>
    </row>
    <row r="78" ht="15.75" customHeight="1" spans="1:5">
      <c r="A78" s="9"/>
      <c r="B78" s="9"/>
      <c r="C78" s="9"/>
      <c r="D78" s="9"/>
      <c r="E78" s="9"/>
    </row>
    <row r="79" ht="15.75" customHeight="1" spans="1:5">
      <c r="A79" s="9"/>
      <c r="B79" s="9"/>
      <c r="C79" s="9"/>
      <c r="D79" s="9"/>
      <c r="E79" s="9"/>
    </row>
    <row r="80" ht="15.75" customHeight="1" spans="1:5">
      <c r="A80" s="9"/>
      <c r="B80" s="9"/>
      <c r="C80" s="9"/>
      <c r="D80" s="9"/>
      <c r="E80" s="9"/>
    </row>
    <row r="81" ht="15.75" customHeight="1" spans="1:5">
      <c r="A81" s="9"/>
      <c r="B81" s="9"/>
      <c r="C81" s="9"/>
      <c r="D81" s="9"/>
      <c r="E81" s="9"/>
    </row>
    <row r="82" ht="15.75" customHeight="1" spans="1:5">
      <c r="A82" s="9"/>
      <c r="B82" s="9"/>
      <c r="C82" s="9"/>
      <c r="D82" s="9"/>
      <c r="E82" s="9"/>
    </row>
    <row r="83" ht="15.75" customHeight="1" spans="1:5">
      <c r="A83" s="9"/>
      <c r="B83" s="9"/>
      <c r="C83" s="9"/>
      <c r="D83" s="9"/>
      <c r="E83" s="9"/>
    </row>
    <row r="84" ht="15.75" customHeight="1" spans="1:5">
      <c r="A84" s="9"/>
      <c r="B84" s="9"/>
      <c r="C84" s="9"/>
      <c r="D84" s="9"/>
      <c r="E84" s="9"/>
    </row>
    <row r="85" ht="15.75" customHeight="1" spans="1:5">
      <c r="A85" s="9"/>
      <c r="B85" s="9"/>
      <c r="C85" s="9"/>
      <c r="D85" s="9"/>
      <c r="E85" s="9"/>
    </row>
    <row r="86" ht="15.75" customHeight="1" spans="1:5">
      <c r="A86" s="9"/>
      <c r="B86" s="9"/>
      <c r="C86" s="9"/>
      <c r="D86" s="9"/>
      <c r="E86" s="9"/>
    </row>
    <row r="87" ht="15.75" customHeight="1" spans="1:5">
      <c r="A87" s="9"/>
      <c r="B87" s="9"/>
      <c r="C87" s="9"/>
      <c r="D87" s="9"/>
      <c r="E87" s="9"/>
    </row>
    <row r="88" ht="15.75" customHeight="1" spans="1:5">
      <c r="A88" s="9"/>
      <c r="B88" s="9"/>
      <c r="C88" s="9"/>
      <c r="D88" s="9"/>
      <c r="E88" s="9"/>
    </row>
    <row r="89" ht="15.75" customHeight="1" spans="1:5">
      <c r="A89" s="9"/>
      <c r="B89" s="9"/>
      <c r="C89" s="9"/>
      <c r="D89" s="9"/>
      <c r="E89" s="9"/>
    </row>
    <row r="90" ht="15.75" customHeight="1" spans="1:5">
      <c r="A90" s="9"/>
      <c r="B90" s="9"/>
      <c r="C90" s="9"/>
      <c r="D90" s="9"/>
      <c r="E90" s="9"/>
    </row>
    <row r="91" ht="15.75" customHeight="1" spans="1:5">
      <c r="A91" s="9"/>
      <c r="B91" s="9"/>
      <c r="C91" s="9"/>
      <c r="D91" s="9"/>
      <c r="E91" s="9"/>
    </row>
    <row r="92" ht="15.75" customHeight="1" spans="1:5">
      <c r="A92" s="9"/>
      <c r="B92" s="9"/>
      <c r="C92" s="9"/>
      <c r="D92" s="9"/>
      <c r="E92" s="9"/>
    </row>
    <row r="93" ht="15.75" customHeight="1" spans="1:5">
      <c r="A93" s="9"/>
      <c r="B93" s="9"/>
      <c r="C93" s="9"/>
      <c r="D93" s="9"/>
      <c r="E93" s="9"/>
    </row>
    <row r="94" ht="15.75" customHeight="1" spans="1:5">
      <c r="A94" s="9"/>
      <c r="B94" s="9"/>
      <c r="C94" s="9"/>
      <c r="D94" s="9"/>
      <c r="E94" s="9"/>
    </row>
    <row r="95" ht="15.75" customHeight="1" spans="1:5">
      <c r="A95" s="9"/>
      <c r="B95" s="9"/>
      <c r="C95" s="9"/>
      <c r="D95" s="9"/>
      <c r="E95" s="9"/>
    </row>
    <row r="96" ht="15.75" customHeight="1" spans="1:5">
      <c r="A96" s="9"/>
      <c r="B96" s="9"/>
      <c r="C96" s="9"/>
      <c r="D96" s="9"/>
      <c r="E96" s="9"/>
    </row>
    <row r="97" ht="15.75" customHeight="1" spans="1:5">
      <c r="A97" s="9"/>
      <c r="B97" s="9"/>
      <c r="C97" s="9"/>
      <c r="D97" s="9"/>
      <c r="E97" s="9"/>
    </row>
    <row r="98" ht="15.75" customHeight="1" spans="1:5">
      <c r="A98" s="9"/>
      <c r="B98" s="9"/>
      <c r="C98" s="9"/>
      <c r="D98" s="9"/>
      <c r="E98" s="9"/>
    </row>
    <row r="99" ht="15.75" customHeight="1" spans="1:5">
      <c r="A99" s="9"/>
      <c r="B99" s="9"/>
      <c r="C99" s="9"/>
      <c r="D99" s="9"/>
      <c r="E99" s="9"/>
    </row>
    <row r="100" ht="15.75" customHeight="1" spans="1:5">
      <c r="A100" s="9"/>
      <c r="B100" s="9"/>
      <c r="C100" s="9"/>
      <c r="D100" s="9"/>
      <c r="E100" s="9"/>
    </row>
    <row r="101" ht="15.75" customHeight="1" spans="1:5">
      <c r="A101" s="9"/>
      <c r="B101" s="9"/>
      <c r="C101" s="9"/>
      <c r="D101" s="9"/>
      <c r="E101" s="9"/>
    </row>
    <row r="102" ht="15.75" customHeight="1" spans="1:5">
      <c r="A102" s="9"/>
      <c r="B102" s="9"/>
      <c r="C102" s="9"/>
      <c r="D102" s="9"/>
      <c r="E102" s="9"/>
    </row>
    <row r="103" ht="15.75" customHeight="1" spans="1:5">
      <c r="A103" s="9"/>
      <c r="B103" s="9"/>
      <c r="C103" s="9"/>
      <c r="D103" s="9"/>
      <c r="E103" s="9"/>
    </row>
    <row r="104" ht="15.75" customHeight="1" spans="1:5">
      <c r="A104" s="9"/>
      <c r="B104" s="9"/>
      <c r="C104" s="9"/>
      <c r="D104" s="9"/>
      <c r="E104" s="9"/>
    </row>
    <row r="105" ht="15.75" customHeight="1" spans="1:5">
      <c r="A105" s="9"/>
      <c r="B105" s="9"/>
      <c r="C105" s="9"/>
      <c r="D105" s="9"/>
      <c r="E105" s="9"/>
    </row>
    <row r="106" ht="15.75" customHeight="1" spans="1:5">
      <c r="A106" s="9"/>
      <c r="B106" s="9"/>
      <c r="C106" s="9"/>
      <c r="D106" s="9"/>
      <c r="E106" s="9"/>
    </row>
    <row r="107" ht="15.75" customHeight="1" spans="1:5">
      <c r="A107" s="9"/>
      <c r="B107" s="9"/>
      <c r="C107" s="9"/>
      <c r="D107" s="9"/>
      <c r="E107" s="9"/>
    </row>
    <row r="108" ht="15.75" customHeight="1" spans="1:5">
      <c r="A108" s="9"/>
      <c r="B108" s="9"/>
      <c r="C108" s="9"/>
      <c r="D108" s="9"/>
      <c r="E108" s="9"/>
    </row>
    <row r="109" ht="15.75" customHeight="1" spans="1:5">
      <c r="A109" s="9"/>
      <c r="B109" s="9"/>
      <c r="C109" s="9"/>
      <c r="D109" s="9"/>
      <c r="E109" s="9"/>
    </row>
    <row r="110" ht="15.75" customHeight="1" spans="1:5">
      <c r="A110" s="9"/>
      <c r="B110" s="9"/>
      <c r="C110" s="9"/>
      <c r="D110" s="9"/>
      <c r="E110" s="9"/>
    </row>
    <row r="111" ht="15.75" customHeight="1" spans="1:5">
      <c r="A111" s="9"/>
      <c r="B111" s="9"/>
      <c r="C111" s="9"/>
      <c r="D111" s="9"/>
      <c r="E111" s="9"/>
    </row>
    <row r="112" ht="15.75" customHeight="1" spans="1:5">
      <c r="A112" s="9"/>
      <c r="B112" s="9"/>
      <c r="C112" s="9"/>
      <c r="D112" s="9"/>
      <c r="E112" s="9"/>
    </row>
    <row r="113" ht="15.75" customHeight="1" spans="1:5">
      <c r="A113" s="9"/>
      <c r="B113" s="9"/>
      <c r="C113" s="9"/>
      <c r="D113" s="9"/>
      <c r="E113" s="9"/>
    </row>
    <row r="114" ht="15.75" customHeight="1" spans="1:5">
      <c r="A114" s="9"/>
      <c r="B114" s="9"/>
      <c r="C114" s="9"/>
      <c r="D114" s="9"/>
      <c r="E114" s="9"/>
    </row>
    <row r="115" ht="15.75" customHeight="1" spans="1:5">
      <c r="A115" s="9"/>
      <c r="B115" s="9"/>
      <c r="C115" s="9"/>
      <c r="D115" s="9"/>
      <c r="E115" s="9"/>
    </row>
    <row r="116" ht="15.75" customHeight="1" spans="1:5">
      <c r="A116" s="9"/>
      <c r="B116" s="9"/>
      <c r="C116" s="9"/>
      <c r="D116" s="9"/>
      <c r="E116" s="9"/>
    </row>
    <row r="117" ht="15.75" customHeight="1" spans="1:5">
      <c r="A117" s="9"/>
      <c r="B117" s="9"/>
      <c r="C117" s="9"/>
      <c r="D117" s="9"/>
      <c r="E117" s="9"/>
    </row>
    <row r="118" ht="15.75" customHeight="1" spans="1:5">
      <c r="A118" s="9"/>
      <c r="B118" s="9"/>
      <c r="C118" s="9"/>
      <c r="D118" s="9"/>
      <c r="E118" s="9"/>
    </row>
    <row r="119" ht="15.75" customHeight="1" spans="1:5">
      <c r="A119" s="9"/>
      <c r="B119" s="9"/>
      <c r="C119" s="9"/>
      <c r="D119" s="9"/>
      <c r="E119" s="9"/>
    </row>
    <row r="120" ht="15.75" customHeight="1" spans="1:5">
      <c r="A120" s="9"/>
      <c r="B120" s="9"/>
      <c r="C120" s="9"/>
      <c r="D120" s="9"/>
      <c r="E120" s="9"/>
    </row>
    <row r="121" ht="15.75" customHeight="1" spans="1:5">
      <c r="A121" s="9"/>
      <c r="B121" s="9"/>
      <c r="C121" s="9"/>
      <c r="D121" s="9"/>
      <c r="E121" s="9"/>
    </row>
    <row r="122" ht="15.75" customHeight="1" spans="1:5">
      <c r="A122" s="9"/>
      <c r="B122" s="9"/>
      <c r="C122" s="9"/>
      <c r="D122" s="9"/>
      <c r="E122" s="9"/>
    </row>
    <row r="123" ht="15.75" customHeight="1" spans="1:5">
      <c r="A123" s="9"/>
      <c r="B123" s="9"/>
      <c r="C123" s="9"/>
      <c r="D123" s="9"/>
      <c r="E123" s="9"/>
    </row>
    <row r="124" ht="15.75" customHeight="1" spans="1:5">
      <c r="A124" s="9"/>
      <c r="B124" s="9"/>
      <c r="C124" s="9"/>
      <c r="D124" s="9"/>
      <c r="E124" s="9"/>
    </row>
    <row r="125" ht="15.75" customHeight="1" spans="1:5">
      <c r="A125" s="9"/>
      <c r="B125" s="9"/>
      <c r="C125" s="9"/>
      <c r="D125" s="9"/>
      <c r="E125" s="9"/>
    </row>
    <row r="126" ht="15.75" customHeight="1" spans="1:5">
      <c r="A126" s="9"/>
      <c r="B126" s="9"/>
      <c r="C126" s="9"/>
      <c r="D126" s="9"/>
      <c r="E126" s="9"/>
    </row>
    <row r="127" ht="15.75" customHeight="1" spans="1:5">
      <c r="A127" s="9"/>
      <c r="B127" s="9"/>
      <c r="C127" s="9"/>
      <c r="D127" s="9"/>
      <c r="E127" s="9"/>
    </row>
    <row r="128" ht="15.75" customHeight="1" spans="1:5">
      <c r="A128" s="9"/>
      <c r="B128" s="9"/>
      <c r="C128" s="9"/>
      <c r="D128" s="9"/>
      <c r="E128" s="9"/>
    </row>
    <row r="129" ht="15.75" customHeight="1" spans="1:5">
      <c r="A129" s="9"/>
      <c r="B129" s="9"/>
      <c r="C129" s="9"/>
      <c r="D129" s="9"/>
      <c r="E129" s="9"/>
    </row>
    <row r="130" ht="15.75" customHeight="1" spans="1:5">
      <c r="A130" s="9"/>
      <c r="B130" s="9"/>
      <c r="C130" s="9"/>
      <c r="D130" s="9"/>
      <c r="E130" s="9"/>
    </row>
    <row r="131" ht="15.75" customHeight="1" spans="1:5">
      <c r="A131" s="9"/>
      <c r="B131" s="9"/>
      <c r="C131" s="9"/>
      <c r="D131" s="9"/>
      <c r="E131" s="9"/>
    </row>
    <row r="132" ht="15.75" customHeight="1" spans="1:5">
      <c r="A132" s="9"/>
      <c r="B132" s="9"/>
      <c r="C132" s="9"/>
      <c r="D132" s="9"/>
      <c r="E132" s="9"/>
    </row>
    <row r="133" ht="15.75" customHeight="1" spans="1:5">
      <c r="A133" s="9"/>
      <c r="B133" s="9"/>
      <c r="C133" s="9"/>
      <c r="D133" s="9"/>
      <c r="E133" s="9"/>
    </row>
    <row r="134" ht="15.75" customHeight="1" spans="1:5">
      <c r="A134" s="9"/>
      <c r="B134" s="9"/>
      <c r="C134" s="9"/>
      <c r="D134" s="9"/>
      <c r="E134" s="9"/>
    </row>
    <row r="135" ht="15.75" customHeight="1" spans="1:5">
      <c r="A135" s="9"/>
      <c r="B135" s="9"/>
      <c r="C135" s="9"/>
      <c r="D135" s="9"/>
      <c r="E135" s="9"/>
    </row>
    <row r="136" ht="15.75" customHeight="1" spans="1:5">
      <c r="A136" s="9"/>
      <c r="B136" s="9"/>
      <c r="C136" s="9"/>
      <c r="D136" s="9"/>
      <c r="E136" s="9"/>
    </row>
    <row r="137" ht="15.75" customHeight="1" spans="1:5">
      <c r="A137" s="9"/>
      <c r="B137" s="9"/>
      <c r="C137" s="9"/>
      <c r="D137" s="9"/>
      <c r="E137" s="9"/>
    </row>
    <row r="138" ht="15.75" customHeight="1" spans="1:5">
      <c r="A138" s="9"/>
      <c r="B138" s="9"/>
      <c r="C138" s="9"/>
      <c r="D138" s="9"/>
      <c r="E138" s="9"/>
    </row>
    <row r="139" ht="15.75" customHeight="1" spans="1:5">
      <c r="A139" s="9"/>
      <c r="B139" s="9"/>
      <c r="C139" s="9"/>
      <c r="D139" s="9"/>
      <c r="E139" s="9"/>
    </row>
    <row r="140" ht="15.75" customHeight="1" spans="1:5">
      <c r="A140" s="9"/>
      <c r="B140" s="9"/>
      <c r="C140" s="9"/>
      <c r="D140" s="9"/>
      <c r="E140" s="9"/>
    </row>
    <row r="141" ht="15.75" customHeight="1" spans="1:5">
      <c r="A141" s="9"/>
      <c r="B141" s="9"/>
      <c r="C141" s="9"/>
      <c r="D141" s="9"/>
      <c r="E141" s="9"/>
    </row>
    <row r="142" ht="15.75" customHeight="1" spans="1:5">
      <c r="A142" s="9"/>
      <c r="B142" s="9"/>
      <c r="C142" s="9"/>
      <c r="D142" s="9"/>
      <c r="E142" s="9"/>
    </row>
    <row r="143" ht="15.75" customHeight="1" spans="1:5">
      <c r="A143" s="9"/>
      <c r="B143" s="9"/>
      <c r="C143" s="9"/>
      <c r="D143" s="9"/>
      <c r="E143" s="9"/>
    </row>
    <row r="144" ht="15.75" customHeight="1" spans="1:5">
      <c r="A144" s="9"/>
      <c r="B144" s="9"/>
      <c r="C144" s="9"/>
      <c r="D144" s="9"/>
      <c r="E144" s="9"/>
    </row>
    <row r="145" ht="15.75" customHeight="1" spans="1:5">
      <c r="A145" s="9"/>
      <c r="B145" s="9"/>
      <c r="C145" s="9"/>
      <c r="D145" s="9"/>
      <c r="E145" s="9"/>
    </row>
    <row r="146" ht="15.75" customHeight="1" spans="1:5">
      <c r="A146" s="9"/>
      <c r="B146" s="9"/>
      <c r="C146" s="9"/>
      <c r="D146" s="9"/>
      <c r="E146" s="9"/>
    </row>
    <row r="147" ht="15.75" customHeight="1" spans="1:5">
      <c r="A147" s="9"/>
      <c r="B147" s="9"/>
      <c r="C147" s="9"/>
      <c r="D147" s="9"/>
      <c r="E147" s="9"/>
    </row>
    <row r="148" ht="15.75" customHeight="1" spans="1:5">
      <c r="A148" s="9"/>
      <c r="B148" s="9"/>
      <c r="C148" s="9"/>
      <c r="D148" s="9"/>
      <c r="E148" s="9"/>
    </row>
    <row r="149" ht="15.75" customHeight="1" spans="1:5">
      <c r="A149" s="9"/>
      <c r="B149" s="9"/>
      <c r="C149" s="9"/>
      <c r="D149" s="9"/>
      <c r="E149" s="9"/>
    </row>
    <row r="150" ht="15.75" customHeight="1" spans="1:5">
      <c r="A150" s="9"/>
      <c r="B150" s="9"/>
      <c r="C150" s="9"/>
      <c r="D150" s="9"/>
      <c r="E150" s="9"/>
    </row>
    <row r="151" ht="15.75" customHeight="1" spans="1:5">
      <c r="A151" s="9"/>
      <c r="B151" s="9"/>
      <c r="C151" s="9"/>
      <c r="D151" s="9"/>
      <c r="E151" s="9"/>
    </row>
    <row r="152" ht="15.75" customHeight="1" spans="1:5">
      <c r="A152" s="9"/>
      <c r="B152" s="9"/>
      <c r="C152" s="9"/>
      <c r="D152" s="9"/>
      <c r="E152" s="9"/>
    </row>
    <row r="153" ht="15.75" customHeight="1" spans="1:5">
      <c r="A153" s="9"/>
      <c r="B153" s="9"/>
      <c r="C153" s="9"/>
      <c r="D153" s="9"/>
      <c r="E153" s="9"/>
    </row>
    <row r="154" ht="15.75" customHeight="1" spans="1:5">
      <c r="A154" s="9"/>
      <c r="B154" s="9"/>
      <c r="C154" s="9"/>
      <c r="D154" s="9"/>
      <c r="E154" s="9"/>
    </row>
    <row r="155" ht="15.75" customHeight="1" spans="1:5">
      <c r="A155" s="9"/>
      <c r="B155" s="9"/>
      <c r="C155" s="9"/>
      <c r="D155" s="9"/>
      <c r="E155" s="9"/>
    </row>
    <row r="156" ht="15.75" customHeight="1" spans="1:5">
      <c r="A156" s="9"/>
      <c r="B156" s="9"/>
      <c r="C156" s="9"/>
      <c r="D156" s="9"/>
      <c r="E156" s="9"/>
    </row>
    <row r="157" ht="15.75" customHeight="1" spans="1:5">
      <c r="A157" s="9"/>
      <c r="B157" s="9"/>
      <c r="C157" s="9"/>
      <c r="D157" s="9"/>
      <c r="E157" s="9"/>
    </row>
    <row r="158" ht="15.75" customHeight="1" spans="1:5">
      <c r="A158" s="9"/>
      <c r="B158" s="9"/>
      <c r="C158" s="9"/>
      <c r="D158" s="9"/>
      <c r="E158" s="9"/>
    </row>
    <row r="159" ht="15.75" customHeight="1" spans="1:5">
      <c r="A159" s="9"/>
      <c r="B159" s="9"/>
      <c r="C159" s="9"/>
      <c r="D159" s="9"/>
      <c r="E159" s="9"/>
    </row>
    <row r="160" ht="15.75" customHeight="1" spans="1:5">
      <c r="A160" s="9"/>
      <c r="B160" s="9"/>
      <c r="C160" s="9"/>
      <c r="D160" s="9"/>
      <c r="E160" s="9"/>
    </row>
    <row r="161" ht="15.75" customHeight="1" spans="1:5">
      <c r="A161" s="9"/>
      <c r="B161" s="9"/>
      <c r="C161" s="9"/>
      <c r="D161" s="9"/>
      <c r="E161" s="9"/>
    </row>
    <row r="162" ht="15.75" customHeight="1" spans="1:5">
      <c r="A162" s="9"/>
      <c r="B162" s="9"/>
      <c r="C162" s="9"/>
      <c r="D162" s="9"/>
      <c r="E162" s="9"/>
    </row>
    <row r="163" ht="15.75" customHeight="1" spans="1:5">
      <c r="A163" s="9"/>
      <c r="B163" s="9"/>
      <c r="C163" s="9"/>
      <c r="D163" s="9"/>
      <c r="E163" s="9"/>
    </row>
    <row r="164" ht="15.75" customHeight="1" spans="1:5">
      <c r="A164" s="9"/>
      <c r="B164" s="9"/>
      <c r="C164" s="9"/>
      <c r="D164" s="9"/>
      <c r="E164" s="9"/>
    </row>
    <row r="165" ht="15.75" customHeight="1" spans="1:5">
      <c r="A165" s="9"/>
      <c r="B165" s="9"/>
      <c r="C165" s="9"/>
      <c r="D165" s="9"/>
      <c r="E165" s="9"/>
    </row>
    <row r="166" ht="15.75" customHeight="1" spans="1:5">
      <c r="A166" s="9"/>
      <c r="B166" s="9"/>
      <c r="C166" s="9"/>
      <c r="D166" s="9"/>
      <c r="E166" s="9"/>
    </row>
    <row r="167" ht="15.75" customHeight="1" spans="1:5">
      <c r="A167" s="9"/>
      <c r="B167" s="9"/>
      <c r="C167" s="9"/>
      <c r="D167" s="9"/>
      <c r="E167" s="9"/>
    </row>
    <row r="168" ht="15.75" customHeight="1" spans="1:5">
      <c r="A168" s="9"/>
      <c r="B168" s="9"/>
      <c r="C168" s="9"/>
      <c r="D168" s="9"/>
      <c r="E168" s="9"/>
    </row>
    <row r="169" ht="15.75" customHeight="1" spans="1:5">
      <c r="A169" s="9"/>
      <c r="B169" s="9"/>
      <c r="C169" s="9"/>
      <c r="D169" s="9"/>
      <c r="E169" s="9"/>
    </row>
    <row r="170" ht="15.75" customHeight="1" spans="1:5">
      <c r="A170" s="9"/>
      <c r="B170" s="9"/>
      <c r="C170" s="9"/>
      <c r="D170" s="9"/>
      <c r="E170" s="9"/>
    </row>
    <row r="171" ht="15.75" customHeight="1" spans="1:5">
      <c r="A171" s="9"/>
      <c r="B171" s="9"/>
      <c r="C171" s="9"/>
      <c r="D171" s="9"/>
      <c r="E171" s="9"/>
    </row>
    <row r="172" ht="15.75" customHeight="1" spans="1:5">
      <c r="A172" s="9"/>
      <c r="B172" s="9"/>
      <c r="C172" s="9"/>
      <c r="D172" s="9"/>
      <c r="E172" s="9"/>
    </row>
    <row r="173" ht="15.75" customHeight="1" spans="1:5">
      <c r="A173" s="9"/>
      <c r="B173" s="9"/>
      <c r="C173" s="9"/>
      <c r="D173" s="9"/>
      <c r="E173" s="9"/>
    </row>
    <row r="174" ht="15.75" customHeight="1" spans="1:5">
      <c r="A174" s="9"/>
      <c r="B174" s="9"/>
      <c r="C174" s="9"/>
      <c r="D174" s="9"/>
      <c r="E174" s="9"/>
    </row>
    <row r="175" ht="15.75" customHeight="1" spans="1:5">
      <c r="A175" s="9"/>
      <c r="B175" s="9"/>
      <c r="C175" s="9"/>
      <c r="D175" s="9"/>
      <c r="E175" s="9"/>
    </row>
    <row r="176" ht="15.75" customHeight="1" spans="1:5">
      <c r="A176" s="9"/>
      <c r="B176" s="9"/>
      <c r="C176" s="9"/>
      <c r="D176" s="9"/>
      <c r="E176" s="9"/>
    </row>
    <row r="177" ht="15.75" customHeight="1" spans="1:5">
      <c r="A177" s="9"/>
      <c r="B177" s="9"/>
      <c r="C177" s="9"/>
      <c r="D177" s="9"/>
      <c r="E177" s="9"/>
    </row>
    <row r="178" ht="15.75" customHeight="1" spans="1:5">
      <c r="A178" s="9"/>
      <c r="B178" s="9"/>
      <c r="C178" s="9"/>
      <c r="D178" s="9"/>
      <c r="E178" s="9"/>
    </row>
    <row r="179" ht="15.75" customHeight="1" spans="1:5">
      <c r="A179" s="9"/>
      <c r="B179" s="9"/>
      <c r="C179" s="9"/>
      <c r="D179" s="9"/>
      <c r="E179" s="9"/>
    </row>
    <row r="180" ht="15.75" customHeight="1" spans="1:5">
      <c r="A180" s="9"/>
      <c r="B180" s="9"/>
      <c r="C180" s="9"/>
      <c r="D180" s="9"/>
      <c r="E180" s="9"/>
    </row>
    <row r="181" ht="15.75" customHeight="1" spans="1:5">
      <c r="A181" s="9"/>
      <c r="B181" s="9"/>
      <c r="C181" s="9"/>
      <c r="D181" s="9"/>
      <c r="E181" s="9"/>
    </row>
    <row r="182" ht="15.75" customHeight="1" spans="1:5">
      <c r="A182" s="9"/>
      <c r="B182" s="9"/>
      <c r="C182" s="9"/>
      <c r="D182" s="9"/>
      <c r="E182" s="9"/>
    </row>
    <row r="183" ht="15.75" customHeight="1" spans="1:5">
      <c r="A183" s="9"/>
      <c r="B183" s="9"/>
      <c r="C183" s="9"/>
      <c r="D183" s="9"/>
      <c r="E183" s="9"/>
    </row>
    <row r="184" ht="15.75" customHeight="1" spans="1:5">
      <c r="A184" s="9"/>
      <c r="B184" s="9"/>
      <c r="C184" s="9"/>
      <c r="D184" s="9"/>
      <c r="E184" s="9"/>
    </row>
    <row r="185" ht="15.75" customHeight="1" spans="1:5">
      <c r="A185" s="9"/>
      <c r="B185" s="9"/>
      <c r="C185" s="9"/>
      <c r="D185" s="9"/>
      <c r="E185" s="9"/>
    </row>
    <row r="186" ht="15.75" customHeight="1" spans="1:5">
      <c r="A186" s="9"/>
      <c r="B186" s="9"/>
      <c r="C186" s="9"/>
      <c r="D186" s="9"/>
      <c r="E186" s="9"/>
    </row>
    <row r="187" ht="15.75" customHeight="1" spans="1:5">
      <c r="A187" s="9"/>
      <c r="B187" s="9"/>
      <c r="C187" s="9"/>
      <c r="D187" s="9"/>
      <c r="E187" s="9"/>
    </row>
    <row r="188" ht="15.75" customHeight="1" spans="1:5">
      <c r="A188" s="9"/>
      <c r="B188" s="9"/>
      <c r="C188" s="9"/>
      <c r="D188" s="9"/>
      <c r="E188" s="9"/>
    </row>
    <row r="189" ht="15.75" customHeight="1" spans="1:5">
      <c r="A189" s="9"/>
      <c r="B189" s="9"/>
      <c r="C189" s="9"/>
      <c r="D189" s="9"/>
      <c r="E189" s="9"/>
    </row>
    <row r="190" ht="15.75" customHeight="1" spans="1:5">
      <c r="A190" s="9"/>
      <c r="B190" s="9"/>
      <c r="C190" s="9"/>
      <c r="D190" s="9"/>
      <c r="E190" s="9"/>
    </row>
    <row r="191" ht="15.75" customHeight="1" spans="1:5">
      <c r="A191" s="9"/>
      <c r="B191" s="9"/>
      <c r="C191" s="9"/>
      <c r="D191" s="9"/>
      <c r="E191" s="9"/>
    </row>
    <row r="192" ht="15.75" customHeight="1" spans="1:5">
      <c r="A192" s="9"/>
      <c r="B192" s="9"/>
      <c r="C192" s="9"/>
      <c r="D192" s="9"/>
      <c r="E192" s="9"/>
    </row>
    <row r="193" ht="15.75" customHeight="1" spans="1:5">
      <c r="A193" s="9"/>
      <c r="B193" s="9"/>
      <c r="C193" s="9"/>
      <c r="D193" s="9"/>
      <c r="E193" s="9"/>
    </row>
    <row r="194" ht="15.75" customHeight="1" spans="1:5">
      <c r="A194" s="9"/>
      <c r="B194" s="9"/>
      <c r="C194" s="9"/>
      <c r="D194" s="9"/>
      <c r="E194" s="9"/>
    </row>
    <row r="195" ht="15.75" customHeight="1" spans="1:5">
      <c r="A195" s="9"/>
      <c r="B195" s="9"/>
      <c r="C195" s="9"/>
      <c r="D195" s="9"/>
      <c r="E195" s="9"/>
    </row>
    <row r="196" ht="15.75" customHeight="1" spans="1:5">
      <c r="A196" s="9"/>
      <c r="B196" s="9"/>
      <c r="C196" s="9"/>
      <c r="D196" s="9"/>
      <c r="E196" s="9"/>
    </row>
    <row r="197" ht="15.75" customHeight="1" spans="1:5">
      <c r="A197" s="9"/>
      <c r="B197" s="9"/>
      <c r="C197" s="9"/>
      <c r="D197" s="9"/>
      <c r="E197" s="9"/>
    </row>
    <row r="198" ht="15.75" customHeight="1" spans="1:5">
      <c r="A198" s="9"/>
      <c r="B198" s="9"/>
      <c r="C198" s="9"/>
      <c r="D198" s="9"/>
      <c r="E198" s="9"/>
    </row>
    <row r="199" ht="15.75" customHeight="1" spans="1:5">
      <c r="A199" s="9"/>
      <c r="B199" s="9"/>
      <c r="C199" s="9"/>
      <c r="D199" s="9"/>
      <c r="E199" s="9"/>
    </row>
    <row r="200" ht="15.75" customHeight="1" spans="1:5">
      <c r="A200" s="9"/>
      <c r="B200" s="9"/>
      <c r="C200" s="9"/>
      <c r="D200" s="9"/>
      <c r="E200" s="9"/>
    </row>
    <row r="201" ht="15.75" customHeight="1" spans="1:5">
      <c r="A201" s="9"/>
      <c r="B201" s="9"/>
      <c r="C201" s="9"/>
      <c r="D201" s="9"/>
      <c r="E201" s="9"/>
    </row>
    <row r="202" ht="15.75" customHeight="1" spans="1:5">
      <c r="A202" s="9"/>
      <c r="B202" s="9"/>
      <c r="C202" s="9"/>
      <c r="D202" s="9"/>
      <c r="E202" s="9"/>
    </row>
    <row r="203" ht="15.75" customHeight="1" spans="1:5">
      <c r="A203" s="9"/>
      <c r="B203" s="9"/>
      <c r="C203" s="9"/>
      <c r="D203" s="9"/>
      <c r="E203" s="9"/>
    </row>
    <row r="204" ht="15.75" customHeight="1" spans="1:5">
      <c r="A204" s="9"/>
      <c r="B204" s="9"/>
      <c r="C204" s="9"/>
      <c r="D204" s="9"/>
      <c r="E204" s="9"/>
    </row>
    <row r="205" ht="15.75" customHeight="1" spans="1:5">
      <c r="A205" s="9"/>
      <c r="B205" s="9"/>
      <c r="C205" s="9"/>
      <c r="D205" s="9"/>
      <c r="E205" s="9"/>
    </row>
    <row r="206" ht="15.75" customHeight="1" spans="1:5">
      <c r="A206" s="9"/>
      <c r="B206" s="9"/>
      <c r="C206" s="9"/>
      <c r="D206" s="9"/>
      <c r="E206" s="9"/>
    </row>
    <row r="207" ht="15.75" customHeight="1" spans="1:5">
      <c r="A207" s="9"/>
      <c r="B207" s="9"/>
      <c r="C207" s="9"/>
      <c r="D207" s="9"/>
      <c r="E207" s="9"/>
    </row>
    <row r="208" ht="15.75" customHeight="1" spans="1:5">
      <c r="A208" s="9"/>
      <c r="B208" s="9"/>
      <c r="C208" s="9"/>
      <c r="D208" s="9"/>
      <c r="E208" s="9"/>
    </row>
    <row r="209" ht="15.75" customHeight="1" spans="1:5">
      <c r="A209" s="9"/>
      <c r="B209" s="9"/>
      <c r="C209" s="9"/>
      <c r="D209" s="9"/>
      <c r="E209" s="9"/>
    </row>
    <row r="210" ht="15.75" customHeight="1" spans="1:5">
      <c r="A210" s="9"/>
      <c r="B210" s="9"/>
      <c r="C210" s="9"/>
      <c r="D210" s="9"/>
      <c r="E210" s="9"/>
    </row>
    <row r="211" ht="15.75" customHeight="1" spans="1:5">
      <c r="A211" s="9"/>
      <c r="B211" s="9"/>
      <c r="C211" s="9"/>
      <c r="D211" s="9"/>
      <c r="E211" s="9"/>
    </row>
    <row r="212" ht="15.75" customHeight="1" spans="1:5">
      <c r="A212" s="9"/>
      <c r="B212" s="9"/>
      <c r="C212" s="9"/>
      <c r="D212" s="9"/>
      <c r="E212" s="9"/>
    </row>
    <row r="213" ht="15.75" customHeight="1" spans="1:5">
      <c r="A213" s="9"/>
      <c r="B213" s="9"/>
      <c r="C213" s="9"/>
      <c r="D213" s="9"/>
      <c r="E213" s="9"/>
    </row>
    <row r="214" ht="15.75" customHeight="1" spans="1:5">
      <c r="A214" s="9"/>
      <c r="B214" s="9"/>
      <c r="C214" s="9"/>
      <c r="D214" s="9"/>
      <c r="E214" s="9"/>
    </row>
    <row r="215" ht="15.75" customHeight="1" spans="1:5">
      <c r="A215" s="9"/>
      <c r="B215" s="9"/>
      <c r="C215" s="9"/>
      <c r="D215" s="9"/>
      <c r="E215" s="9"/>
    </row>
    <row r="216" ht="15.75" customHeight="1" spans="1:5">
      <c r="A216" s="9"/>
      <c r="B216" s="9"/>
      <c r="C216" s="9"/>
      <c r="D216" s="9"/>
      <c r="E216" s="9"/>
    </row>
    <row r="217" ht="15.75" customHeight="1" spans="1:5">
      <c r="A217" s="9"/>
      <c r="B217" s="9"/>
      <c r="C217" s="9"/>
      <c r="D217" s="9"/>
      <c r="E217" s="9"/>
    </row>
    <row r="218" ht="15.75" customHeight="1" spans="1:5">
      <c r="A218" s="9"/>
      <c r="B218" s="9"/>
      <c r="C218" s="9"/>
      <c r="D218" s="9"/>
      <c r="E218" s="9"/>
    </row>
    <row r="219" ht="15.75" customHeight="1" spans="1:5">
      <c r="A219" s="9"/>
      <c r="B219" s="9"/>
      <c r="C219" s="9"/>
      <c r="D219" s="9"/>
      <c r="E219" s="9"/>
    </row>
    <row r="220" ht="15.75" customHeight="1" spans="1:5">
      <c r="A220" s="9"/>
      <c r="B220" s="9"/>
      <c r="C220" s="9"/>
      <c r="D220" s="9"/>
      <c r="E220" s="9"/>
    </row>
    <row r="221" ht="15.75" customHeight="1" spans="1:5">
      <c r="A221" s="9"/>
      <c r="B221" s="9"/>
      <c r="C221" s="9"/>
      <c r="D221" s="9"/>
      <c r="E221" s="9"/>
    </row>
    <row r="222" ht="15.75" customHeight="1" spans="1:5">
      <c r="A222" s="9"/>
      <c r="B222" s="9"/>
      <c r="C222" s="9"/>
      <c r="D222" s="9"/>
      <c r="E222" s="9"/>
    </row>
    <row r="223" ht="15.75" customHeight="1" spans="1:5">
      <c r="A223" s="9"/>
      <c r="B223" s="9"/>
      <c r="C223" s="9"/>
      <c r="D223" s="9"/>
      <c r="E223" s="9"/>
    </row>
    <row r="224" ht="15.75" customHeight="1" spans="1:5">
      <c r="A224" s="9"/>
      <c r="B224" s="9"/>
      <c r="C224" s="9"/>
      <c r="D224" s="9"/>
      <c r="E224" s="9"/>
    </row>
    <row r="225" ht="15.75" customHeight="1" spans="1:5">
      <c r="A225" s="9"/>
      <c r="B225" s="9"/>
      <c r="C225" s="9"/>
      <c r="D225" s="9"/>
      <c r="E225" s="9"/>
    </row>
    <row r="226" ht="15.75" customHeight="1" spans="1:5">
      <c r="A226" s="9"/>
      <c r="B226" s="9"/>
      <c r="C226" s="9"/>
      <c r="D226" s="9"/>
      <c r="E226" s="9"/>
    </row>
    <row r="227" ht="15.75" customHeight="1" spans="1:5">
      <c r="A227" s="9"/>
      <c r="B227" s="9"/>
      <c r="C227" s="9"/>
      <c r="D227" s="9"/>
      <c r="E227" s="9"/>
    </row>
    <row r="228" ht="15.75" customHeight="1" spans="1:5">
      <c r="A228" s="9"/>
      <c r="B228" s="9"/>
      <c r="C228" s="9"/>
      <c r="D228" s="9"/>
      <c r="E228" s="9"/>
    </row>
    <row r="229" ht="15.75" customHeight="1" spans="1:5">
      <c r="A229" s="9"/>
      <c r="B229" s="9"/>
      <c r="C229" s="9"/>
      <c r="D229" s="9"/>
      <c r="E229" s="9"/>
    </row>
    <row r="230" ht="15.75" customHeight="1" spans="1:5">
      <c r="A230" s="9"/>
      <c r="B230" s="9"/>
      <c r="C230" s="9"/>
      <c r="D230" s="9"/>
      <c r="E230" s="9"/>
    </row>
    <row r="231" ht="15.75" customHeight="1" spans="1:5">
      <c r="A231" s="9"/>
      <c r="B231" s="9"/>
      <c r="C231" s="9"/>
      <c r="D231" s="9"/>
      <c r="E231" s="9"/>
    </row>
    <row r="232" ht="15.75" customHeight="1" spans="1:5">
      <c r="A232" s="9"/>
      <c r="B232" s="9"/>
      <c r="C232" s="9"/>
      <c r="D232" s="9"/>
      <c r="E232" s="9"/>
    </row>
    <row r="233" ht="15.75" customHeight="1" spans="1:5">
      <c r="A233" s="9"/>
      <c r="B233" s="9"/>
      <c r="C233" s="9"/>
      <c r="D233" s="9"/>
      <c r="E233" s="9"/>
    </row>
    <row r="234" ht="15.75" customHeight="1" spans="1:5">
      <c r="A234" s="9"/>
      <c r="B234" s="9"/>
      <c r="C234" s="9"/>
      <c r="D234" s="9"/>
      <c r="E234" s="9"/>
    </row>
    <row r="235" ht="15.75" customHeight="1" spans="1:5">
      <c r="A235" s="9"/>
      <c r="B235" s="9"/>
      <c r="C235" s="9"/>
      <c r="D235" s="9"/>
      <c r="E235" s="9"/>
    </row>
    <row r="236" ht="15.75" customHeight="1" spans="1:5">
      <c r="A236" s="9"/>
      <c r="B236" s="9"/>
      <c r="C236" s="9"/>
      <c r="D236" s="9"/>
      <c r="E236" s="9"/>
    </row>
    <row r="237" ht="15.75" customHeight="1" spans="1:5">
      <c r="A237" s="9"/>
      <c r="B237" s="9"/>
      <c r="C237" s="9"/>
      <c r="D237" s="9"/>
      <c r="E237" s="9"/>
    </row>
    <row r="238" ht="15.75" customHeight="1" spans="1:5">
      <c r="A238" s="9"/>
      <c r="B238" s="9"/>
      <c r="C238" s="9"/>
      <c r="D238" s="9"/>
      <c r="E238" s="9"/>
    </row>
    <row r="239" ht="15.75" customHeight="1" spans="1:5">
      <c r="A239" s="9"/>
      <c r="B239" s="9"/>
      <c r="C239" s="9"/>
      <c r="D239" s="9"/>
      <c r="E239" s="9"/>
    </row>
    <row r="240" ht="15.75" customHeight="1" spans="1:5">
      <c r="A240" s="9"/>
      <c r="B240" s="9"/>
      <c r="C240" s="9"/>
      <c r="D240" s="9"/>
      <c r="E240" s="9"/>
    </row>
    <row r="241" ht="15.75" customHeight="1" spans="1:5">
      <c r="A241" s="9"/>
      <c r="B241" s="9"/>
      <c r="C241" s="9"/>
      <c r="D241" s="9"/>
      <c r="E241" s="9"/>
    </row>
    <row r="242" ht="15.75" customHeight="1" spans="1:5">
      <c r="A242" s="9"/>
      <c r="B242" s="9"/>
      <c r="C242" s="9"/>
      <c r="D242" s="9"/>
      <c r="E242" s="9"/>
    </row>
    <row r="243" ht="15.75" customHeight="1" spans="1:5">
      <c r="A243" s="9"/>
      <c r="B243" s="9"/>
      <c r="C243" s="9"/>
      <c r="D243" s="9"/>
      <c r="E243" s="9"/>
    </row>
    <row r="244" ht="15.75" customHeight="1" spans="1:5">
      <c r="A244" s="9"/>
      <c r="B244" s="9"/>
      <c r="C244" s="9"/>
      <c r="D244" s="9"/>
      <c r="E244" s="9"/>
    </row>
    <row r="245" ht="15.75" customHeight="1" spans="1:5">
      <c r="A245" s="9"/>
      <c r="B245" s="9"/>
      <c r="C245" s="9"/>
      <c r="D245" s="9"/>
      <c r="E245" s="9"/>
    </row>
    <row r="246" ht="15.75" customHeight="1" spans="1:5">
      <c r="A246" s="9"/>
      <c r="B246" s="9"/>
      <c r="C246" s="9"/>
      <c r="D246" s="9"/>
      <c r="E246" s="9"/>
    </row>
    <row r="247" ht="15.75" customHeight="1" spans="1:5">
      <c r="A247" s="9"/>
      <c r="B247" s="9"/>
      <c r="C247" s="9"/>
      <c r="D247" s="9"/>
      <c r="E247" s="9"/>
    </row>
    <row r="248" ht="15.75" customHeight="1" spans="1:5">
      <c r="A248" s="9"/>
      <c r="B248" s="9"/>
      <c r="C248" s="9"/>
      <c r="D248" s="9"/>
      <c r="E248" s="9"/>
    </row>
    <row r="249" ht="15.75" customHeight="1" spans="1:5">
      <c r="A249" s="9"/>
      <c r="B249" s="9"/>
      <c r="C249" s="9"/>
      <c r="D249" s="9"/>
      <c r="E249" s="9"/>
    </row>
    <row r="250" ht="15.75" customHeight="1" spans="1:5">
      <c r="A250" s="9"/>
      <c r="B250" s="9"/>
      <c r="C250" s="9"/>
      <c r="D250" s="9"/>
      <c r="E250" s="9"/>
    </row>
    <row r="251" ht="15.75" customHeight="1" spans="1:5">
      <c r="A251" s="9"/>
      <c r="B251" s="9"/>
      <c r="C251" s="9"/>
      <c r="D251" s="9"/>
      <c r="E251" s="9"/>
    </row>
    <row r="252" ht="15.75" customHeight="1" spans="1:5">
      <c r="A252" s="9"/>
      <c r="B252" s="9"/>
      <c r="C252" s="9"/>
      <c r="D252" s="9"/>
      <c r="E252" s="9"/>
    </row>
    <row r="253" ht="15.75" customHeight="1" spans="1:5">
      <c r="A253" s="9"/>
      <c r="B253" s="9"/>
      <c r="C253" s="9"/>
      <c r="D253" s="9"/>
      <c r="E253" s="9"/>
    </row>
    <row r="254" ht="15.75" customHeight="1" spans="1:5">
      <c r="A254" s="9"/>
      <c r="B254" s="9"/>
      <c r="C254" s="9"/>
      <c r="D254" s="9"/>
      <c r="E254" s="9"/>
    </row>
    <row r="255" ht="15.75" customHeight="1" spans="1:5">
      <c r="A255" s="9"/>
      <c r="B255" s="9"/>
      <c r="C255" s="9"/>
      <c r="D255" s="9"/>
      <c r="E255" s="9"/>
    </row>
    <row r="256" ht="15.75" customHeight="1" spans="1:5">
      <c r="A256" s="9"/>
      <c r="B256" s="9"/>
      <c r="C256" s="9"/>
      <c r="D256" s="9"/>
      <c r="E256" s="9"/>
    </row>
    <row r="257" ht="15.75" customHeight="1" spans="1:5">
      <c r="A257" s="9"/>
      <c r="B257" s="9"/>
      <c r="C257" s="9"/>
      <c r="D257" s="9"/>
      <c r="E257" s="9"/>
    </row>
    <row r="258" ht="15.75" customHeight="1" spans="1:5">
      <c r="A258" s="9"/>
      <c r="B258" s="9"/>
      <c r="C258" s="9"/>
      <c r="D258" s="9"/>
      <c r="E258" s="9"/>
    </row>
    <row r="259" ht="15.75" customHeight="1" spans="1:5">
      <c r="A259" s="9"/>
      <c r="B259" s="9"/>
      <c r="C259" s="9"/>
      <c r="D259" s="9"/>
      <c r="E259" s="9"/>
    </row>
    <row r="260" ht="15.75" customHeight="1" spans="1:5">
      <c r="A260" s="9"/>
      <c r="B260" s="9"/>
      <c r="C260" s="9"/>
      <c r="D260" s="9"/>
      <c r="E260" s="9"/>
    </row>
    <row r="261" ht="15.75" customHeight="1" spans="1:5">
      <c r="A261" s="9"/>
      <c r="B261" s="9"/>
      <c r="C261" s="9"/>
      <c r="D261" s="9"/>
      <c r="E261" s="9"/>
    </row>
    <row r="262" ht="15.75" customHeight="1" spans="1:5">
      <c r="A262" s="9"/>
      <c r="B262" s="9"/>
      <c r="C262" s="9"/>
      <c r="D262" s="9"/>
      <c r="E262" s="9"/>
    </row>
    <row r="263" ht="15.75" customHeight="1" spans="1:5">
      <c r="A263" s="9"/>
      <c r="B263" s="9"/>
      <c r="C263" s="9"/>
      <c r="D263" s="9"/>
      <c r="E263" s="9"/>
    </row>
    <row r="264" ht="15.75" customHeight="1" spans="1:5">
      <c r="A264" s="9"/>
      <c r="B264" s="9"/>
      <c r="C264" s="9"/>
      <c r="D264" s="9"/>
      <c r="E264" s="9"/>
    </row>
    <row r="265" ht="15.75" customHeight="1" spans="1:5">
      <c r="A265" s="9"/>
      <c r="B265" s="9"/>
      <c r="C265" s="9"/>
      <c r="D265" s="9"/>
      <c r="E265" s="9"/>
    </row>
    <row r="266" ht="15.75" customHeight="1" spans="1:5">
      <c r="A266" s="9"/>
      <c r="B266" s="9"/>
      <c r="C266" s="9"/>
      <c r="D266" s="9"/>
      <c r="E266" s="9"/>
    </row>
    <row r="267" ht="15.75" customHeight="1" spans="1:5">
      <c r="A267" s="9"/>
      <c r="B267" s="9"/>
      <c r="C267" s="9"/>
      <c r="D267" s="9"/>
      <c r="E267" s="9"/>
    </row>
    <row r="268" ht="15.75" customHeight="1" spans="1:5">
      <c r="A268" s="9"/>
      <c r="B268" s="9"/>
      <c r="C268" s="9"/>
      <c r="D268" s="9"/>
      <c r="E268" s="9"/>
    </row>
    <row r="269" ht="15.75" customHeight="1" spans="1:5">
      <c r="A269" s="9"/>
      <c r="B269" s="9"/>
      <c r="C269" s="9"/>
      <c r="D269" s="9"/>
      <c r="E269" s="9"/>
    </row>
    <row r="270" ht="15.75" customHeight="1" spans="1:5">
      <c r="A270" s="9"/>
      <c r="B270" s="9"/>
      <c r="C270" s="9"/>
      <c r="D270" s="9"/>
      <c r="E270" s="9"/>
    </row>
    <row r="271" ht="15.75" customHeight="1" spans="1:5">
      <c r="A271" s="9"/>
      <c r="B271" s="9"/>
      <c r="C271" s="9"/>
      <c r="D271" s="9"/>
      <c r="E271" s="9"/>
    </row>
    <row r="272" ht="15.75" customHeight="1" spans="1:5">
      <c r="A272" s="9"/>
      <c r="B272" s="9"/>
      <c r="C272" s="9"/>
      <c r="D272" s="9"/>
      <c r="E272" s="9"/>
    </row>
    <row r="273" ht="15.75" customHeight="1" spans="1:5">
      <c r="A273" s="9"/>
      <c r="B273" s="9"/>
      <c r="C273" s="9"/>
      <c r="D273" s="9"/>
      <c r="E273" s="9"/>
    </row>
    <row r="274" ht="15.75" customHeight="1" spans="1:5">
      <c r="A274" s="9"/>
      <c r="B274" s="9"/>
      <c r="C274" s="9"/>
      <c r="D274" s="9"/>
      <c r="E274" s="9"/>
    </row>
    <row r="275" ht="15.75" customHeight="1" spans="1:5">
      <c r="A275" s="9"/>
      <c r="B275" s="9"/>
      <c r="C275" s="9"/>
      <c r="D275" s="9"/>
      <c r="E275" s="9"/>
    </row>
    <row r="276" ht="15.75" customHeight="1" spans="1:5">
      <c r="A276" s="9"/>
      <c r="B276" s="9"/>
      <c r="C276" s="9"/>
      <c r="D276" s="9"/>
      <c r="E276" s="9"/>
    </row>
    <row r="277" ht="15.75" customHeight="1" spans="1:5">
      <c r="A277" s="9"/>
      <c r="B277" s="9"/>
      <c r="C277" s="9"/>
      <c r="D277" s="9"/>
      <c r="E277" s="9"/>
    </row>
    <row r="278" ht="15.75" customHeight="1" spans="1:5">
      <c r="A278" s="9"/>
      <c r="B278" s="9"/>
      <c r="C278" s="9"/>
      <c r="D278" s="9"/>
      <c r="E278" s="9"/>
    </row>
    <row r="279" ht="15.75" customHeight="1" spans="1:5">
      <c r="A279" s="9"/>
      <c r="B279" s="9"/>
      <c r="C279" s="9"/>
      <c r="D279" s="9"/>
      <c r="E279" s="9"/>
    </row>
    <row r="280" ht="15.75" customHeight="1" spans="1:5">
      <c r="A280" s="9"/>
      <c r="B280" s="9"/>
      <c r="C280" s="9"/>
      <c r="D280" s="9"/>
      <c r="E280" s="9"/>
    </row>
    <row r="281" ht="15.75" customHeight="1" spans="1:5">
      <c r="A281" s="9"/>
      <c r="B281" s="9"/>
      <c r="C281" s="9"/>
      <c r="D281" s="9"/>
      <c r="E281" s="9"/>
    </row>
    <row r="282" ht="15.75" customHeight="1" spans="1:5">
      <c r="A282" s="9"/>
      <c r="B282" s="9"/>
      <c r="C282" s="9"/>
      <c r="D282" s="9"/>
      <c r="E282" s="9"/>
    </row>
    <row r="283" ht="15.75" customHeight="1" spans="1:5">
      <c r="A283" s="9"/>
      <c r="B283" s="9"/>
      <c r="C283" s="9"/>
      <c r="D283" s="9"/>
      <c r="E283" s="9"/>
    </row>
    <row r="284" ht="15.75" customHeight="1" spans="1:5">
      <c r="A284" s="9"/>
      <c r="B284" s="9"/>
      <c r="C284" s="9"/>
      <c r="D284" s="9"/>
      <c r="E284" s="9"/>
    </row>
    <row r="285" ht="15.75" customHeight="1" spans="1:5">
      <c r="A285" s="9"/>
      <c r="B285" s="9"/>
      <c r="C285" s="9"/>
      <c r="D285" s="9"/>
      <c r="E285" s="9"/>
    </row>
    <row r="286" ht="15.75" customHeight="1" spans="1:5">
      <c r="A286" s="9"/>
      <c r="B286" s="9"/>
      <c r="C286" s="9"/>
      <c r="D286" s="9"/>
      <c r="E286" s="9"/>
    </row>
    <row r="287" ht="15.75" customHeight="1" spans="1:5">
      <c r="A287" s="9"/>
      <c r="B287" s="9"/>
      <c r="C287" s="9"/>
      <c r="D287" s="9"/>
      <c r="E287" s="9"/>
    </row>
    <row r="288" ht="15.75" customHeight="1" spans="1:5">
      <c r="A288" s="9"/>
      <c r="B288" s="9"/>
      <c r="C288" s="9"/>
      <c r="D288" s="9"/>
      <c r="E288" s="9"/>
    </row>
    <row r="289" ht="15.75" customHeight="1" spans="1:5">
      <c r="A289" s="9"/>
      <c r="B289" s="9"/>
      <c r="C289" s="9"/>
      <c r="D289" s="9"/>
      <c r="E289" s="9"/>
    </row>
    <row r="290" ht="15.75" customHeight="1" spans="1:5">
      <c r="A290" s="9"/>
      <c r="B290" s="9"/>
      <c r="C290" s="9"/>
      <c r="D290" s="9"/>
      <c r="E290" s="9"/>
    </row>
    <row r="291" ht="15.75" customHeight="1" spans="1:5">
      <c r="A291" s="9"/>
      <c r="B291" s="9"/>
      <c r="C291" s="9"/>
      <c r="D291" s="9"/>
      <c r="E291" s="9"/>
    </row>
    <row r="292" ht="15.75" customHeight="1" spans="1:5">
      <c r="A292" s="9"/>
      <c r="B292" s="9"/>
      <c r="C292" s="9"/>
      <c r="D292" s="9"/>
      <c r="E292" s="9"/>
    </row>
    <row r="293" ht="15.75" customHeight="1" spans="1:5">
      <c r="A293" s="9"/>
      <c r="B293" s="9"/>
      <c r="C293" s="9"/>
      <c r="D293" s="9"/>
      <c r="E293" s="9"/>
    </row>
    <row r="294" ht="15.75" customHeight="1" spans="1:5">
      <c r="A294" s="9"/>
      <c r="B294" s="9"/>
      <c r="C294" s="9"/>
      <c r="D294" s="9"/>
      <c r="E294" s="9"/>
    </row>
    <row r="295" ht="15.75" customHeight="1" spans="1:5">
      <c r="A295" s="9"/>
      <c r="B295" s="9"/>
      <c r="C295" s="9"/>
      <c r="D295" s="9"/>
      <c r="E295" s="9"/>
    </row>
    <row r="296" ht="15.75" customHeight="1" spans="1:5">
      <c r="A296" s="9"/>
      <c r="B296" s="9"/>
      <c r="C296" s="9"/>
      <c r="D296" s="9"/>
      <c r="E296" s="9"/>
    </row>
    <row r="297" ht="15.75" customHeight="1" spans="1:5">
      <c r="A297" s="9"/>
      <c r="B297" s="9"/>
      <c r="C297" s="9"/>
      <c r="D297" s="9"/>
      <c r="E297" s="9"/>
    </row>
    <row r="298" ht="15.75" customHeight="1" spans="1:5">
      <c r="A298" s="9"/>
      <c r="B298" s="9"/>
      <c r="C298" s="9"/>
      <c r="D298" s="9"/>
      <c r="E298" s="9"/>
    </row>
    <row r="299" ht="15.75" customHeight="1" spans="1:5">
      <c r="A299" s="9"/>
      <c r="B299" s="9"/>
      <c r="C299" s="9"/>
      <c r="D299" s="9"/>
      <c r="E299" s="9"/>
    </row>
    <row r="300" ht="15.75" customHeight="1" spans="1:5">
      <c r="A300" s="9"/>
      <c r="B300" s="9"/>
      <c r="C300" s="9"/>
      <c r="D300" s="9"/>
      <c r="E300" s="9"/>
    </row>
    <row r="301" ht="15.75" customHeight="1" spans="1:5">
      <c r="A301" s="9"/>
      <c r="B301" s="9"/>
      <c r="C301" s="9"/>
      <c r="D301" s="9"/>
      <c r="E301" s="9"/>
    </row>
    <row r="302" ht="15.75" customHeight="1" spans="1:5">
      <c r="A302" s="9"/>
      <c r="B302" s="9"/>
      <c r="C302" s="9"/>
      <c r="D302" s="9"/>
      <c r="E302" s="9"/>
    </row>
    <row r="303" ht="15.75" customHeight="1" spans="1:5">
      <c r="A303" s="9"/>
      <c r="B303" s="9"/>
      <c r="C303" s="9"/>
      <c r="D303" s="9"/>
      <c r="E303" s="9"/>
    </row>
    <row r="304" ht="15.75" customHeight="1" spans="1:5">
      <c r="A304" s="9"/>
      <c r="B304" s="9"/>
      <c r="C304" s="9"/>
      <c r="D304" s="9"/>
      <c r="E304" s="9"/>
    </row>
    <row r="305" ht="15.75" customHeight="1" spans="1:5">
      <c r="A305" s="9"/>
      <c r="B305" s="9"/>
      <c r="C305" s="9"/>
      <c r="D305" s="9"/>
      <c r="E305" s="9"/>
    </row>
    <row r="306" ht="15.75" customHeight="1" spans="1:5">
      <c r="A306" s="9"/>
      <c r="B306" s="9"/>
      <c r="C306" s="9"/>
      <c r="D306" s="9"/>
      <c r="E306" s="9"/>
    </row>
    <row r="307" ht="15.75" customHeight="1" spans="1:5">
      <c r="A307" s="9"/>
      <c r="B307" s="9"/>
      <c r="C307" s="9"/>
      <c r="D307" s="9"/>
      <c r="E307" s="9"/>
    </row>
    <row r="308" ht="15.75" customHeight="1" spans="1:5">
      <c r="A308" s="9"/>
      <c r="B308" s="9"/>
      <c r="C308" s="9"/>
      <c r="D308" s="9"/>
      <c r="E308" s="9"/>
    </row>
    <row r="309" ht="15.75" customHeight="1" spans="1:5">
      <c r="A309" s="9"/>
      <c r="B309" s="9"/>
      <c r="C309" s="9"/>
      <c r="D309" s="9"/>
      <c r="E309" s="9"/>
    </row>
    <row r="310" ht="15.75" customHeight="1" spans="1:5">
      <c r="A310" s="9"/>
      <c r="B310" s="9"/>
      <c r="C310" s="9"/>
      <c r="D310" s="9"/>
      <c r="E310" s="9"/>
    </row>
    <row r="311" ht="15.75" customHeight="1" spans="1:5">
      <c r="A311" s="9"/>
      <c r="B311" s="9"/>
      <c r="C311" s="9"/>
      <c r="D311" s="9"/>
      <c r="E311" s="9"/>
    </row>
    <row r="312" ht="15.75" customHeight="1" spans="1:5">
      <c r="A312" s="9"/>
      <c r="B312" s="9"/>
      <c r="C312" s="9"/>
      <c r="D312" s="9"/>
      <c r="E312" s="9"/>
    </row>
    <row r="313" ht="15.75" customHeight="1" spans="1:5">
      <c r="A313" s="9"/>
      <c r="B313" s="9"/>
      <c r="C313" s="9"/>
      <c r="D313" s="9"/>
      <c r="E313" s="9"/>
    </row>
    <row r="314" ht="15.75" customHeight="1" spans="1:5">
      <c r="A314" s="9"/>
      <c r="B314" s="9"/>
      <c r="C314" s="9"/>
      <c r="D314" s="9"/>
      <c r="E314" s="9"/>
    </row>
    <row r="315" ht="15.75" customHeight="1" spans="1:5">
      <c r="A315" s="9"/>
      <c r="B315" s="9"/>
      <c r="C315" s="9"/>
      <c r="D315" s="9"/>
      <c r="E315" s="9"/>
    </row>
    <row r="316" ht="15.75" customHeight="1" spans="1:5">
      <c r="A316" s="9"/>
      <c r="B316" s="9"/>
      <c r="C316" s="9"/>
      <c r="D316" s="9"/>
      <c r="E316" s="9"/>
    </row>
    <row r="317" ht="15.75" customHeight="1" spans="1:5">
      <c r="A317" s="9"/>
      <c r="B317" s="9"/>
      <c r="C317" s="9"/>
      <c r="D317" s="9"/>
      <c r="E317" s="9"/>
    </row>
    <row r="318" ht="15.75" customHeight="1" spans="1:5">
      <c r="A318" s="9"/>
      <c r="B318" s="9"/>
      <c r="C318" s="9"/>
      <c r="D318" s="9"/>
      <c r="E318" s="9"/>
    </row>
    <row r="319" ht="15.75" customHeight="1" spans="1:5">
      <c r="A319" s="9"/>
      <c r="B319" s="9"/>
      <c r="C319" s="9"/>
      <c r="D319" s="9"/>
      <c r="E319" s="9"/>
    </row>
    <row r="320" ht="15.75" customHeight="1" spans="1:5">
      <c r="A320" s="9"/>
      <c r="B320" s="9"/>
      <c r="C320" s="9"/>
      <c r="D320" s="9"/>
      <c r="E320" s="9"/>
    </row>
    <row r="321" ht="15.75" customHeight="1" spans="1:5">
      <c r="A321" s="9"/>
      <c r="B321" s="9"/>
      <c r="C321" s="9"/>
      <c r="D321" s="9"/>
      <c r="E321" s="9"/>
    </row>
    <row r="322" ht="15.75" customHeight="1" spans="1:5">
      <c r="A322" s="9"/>
      <c r="B322" s="9"/>
      <c r="C322" s="9"/>
      <c r="D322" s="9"/>
      <c r="E322" s="9"/>
    </row>
    <row r="323" ht="15.75" customHeight="1" spans="1:5">
      <c r="A323" s="9"/>
      <c r="B323" s="9"/>
      <c r="C323" s="9"/>
      <c r="D323" s="9"/>
      <c r="E323" s="9"/>
    </row>
    <row r="324" ht="15.75" customHeight="1" spans="1:5">
      <c r="A324" s="9"/>
      <c r="B324" s="9"/>
      <c r="C324" s="9"/>
      <c r="D324" s="9"/>
      <c r="E324" s="9"/>
    </row>
    <row r="325" ht="15.75" customHeight="1" spans="1:5">
      <c r="A325" s="9"/>
      <c r="B325" s="9"/>
      <c r="C325" s="9"/>
      <c r="D325" s="9"/>
      <c r="E325" s="9"/>
    </row>
    <row r="326" ht="15.75" customHeight="1" spans="1:5">
      <c r="A326" s="9"/>
      <c r="B326" s="9"/>
      <c r="C326" s="9"/>
      <c r="D326" s="9"/>
      <c r="E326" s="9"/>
    </row>
    <row r="327" ht="15.75" customHeight="1" spans="1:5">
      <c r="A327" s="9"/>
      <c r="B327" s="9"/>
      <c r="C327" s="9"/>
      <c r="D327" s="9"/>
      <c r="E327" s="9"/>
    </row>
    <row r="328" ht="15.75" customHeight="1" spans="1:5">
      <c r="A328" s="9"/>
      <c r="B328" s="9"/>
      <c r="C328" s="9"/>
      <c r="D328" s="9"/>
      <c r="E328" s="9"/>
    </row>
    <row r="329" ht="15.75" customHeight="1" spans="1:5">
      <c r="A329" s="9"/>
      <c r="B329" s="9"/>
      <c r="C329" s="9"/>
      <c r="D329" s="9"/>
      <c r="E329" s="9"/>
    </row>
    <row r="330" ht="15.75" customHeight="1" spans="1:5">
      <c r="A330" s="9"/>
      <c r="B330" s="9"/>
      <c r="C330" s="9"/>
      <c r="D330" s="9"/>
      <c r="E330" s="9"/>
    </row>
    <row r="331" ht="15.75" customHeight="1" spans="1:5">
      <c r="A331" s="9"/>
      <c r="B331" s="9"/>
      <c r="C331" s="9"/>
      <c r="D331" s="9"/>
      <c r="E331" s="9"/>
    </row>
    <row r="332" ht="15.75" customHeight="1" spans="1:5">
      <c r="A332" s="9"/>
      <c r="B332" s="9"/>
      <c r="C332" s="9"/>
      <c r="D332" s="9"/>
      <c r="E332" s="9"/>
    </row>
    <row r="333" ht="15.75" customHeight="1" spans="1:5">
      <c r="A333" s="9"/>
      <c r="B333" s="9"/>
      <c r="C333" s="9"/>
      <c r="D333" s="9"/>
      <c r="E333" s="9"/>
    </row>
    <row r="334" ht="15.75" customHeight="1" spans="1:5">
      <c r="A334" s="9"/>
      <c r="B334" s="9"/>
      <c r="C334" s="9"/>
      <c r="D334" s="9"/>
      <c r="E334" s="9"/>
    </row>
    <row r="335" ht="15.75" customHeight="1" spans="1:5">
      <c r="A335" s="9"/>
      <c r="B335" s="9"/>
      <c r="C335" s="9"/>
      <c r="D335" s="9"/>
      <c r="E335" s="9"/>
    </row>
    <row r="336" ht="15.75" customHeight="1" spans="1:5">
      <c r="A336" s="9"/>
      <c r="B336" s="9"/>
      <c r="C336" s="9"/>
      <c r="D336" s="9"/>
      <c r="E336" s="9"/>
    </row>
    <row r="337" ht="15.75" customHeight="1" spans="1:5">
      <c r="A337" s="9"/>
      <c r="B337" s="9"/>
      <c r="C337" s="9"/>
      <c r="D337" s="9"/>
      <c r="E337" s="9"/>
    </row>
    <row r="338" ht="15.75" customHeight="1" spans="1:5">
      <c r="A338" s="9"/>
      <c r="B338" s="9"/>
      <c r="C338" s="9"/>
      <c r="D338" s="9"/>
      <c r="E338" s="9"/>
    </row>
    <row r="339" ht="15.75" customHeight="1" spans="1:5">
      <c r="A339" s="9"/>
      <c r="B339" s="9"/>
      <c r="C339" s="9"/>
      <c r="D339" s="9"/>
      <c r="E339" s="9"/>
    </row>
    <row r="340" ht="15.75" customHeight="1" spans="1:5">
      <c r="A340" s="9"/>
      <c r="B340" s="9"/>
      <c r="C340" s="9"/>
      <c r="D340" s="9"/>
      <c r="E340" s="9"/>
    </row>
    <row r="341" ht="15.75" customHeight="1" spans="1:5">
      <c r="A341" s="9"/>
      <c r="B341" s="9"/>
      <c r="C341" s="9"/>
      <c r="D341" s="9"/>
      <c r="E341" s="9"/>
    </row>
    <row r="342" ht="15.75" customHeight="1" spans="1:5">
      <c r="A342" s="9"/>
      <c r="B342" s="9"/>
      <c r="C342" s="9"/>
      <c r="D342" s="9"/>
      <c r="E342" s="9"/>
    </row>
    <row r="343" ht="15.75" customHeight="1" spans="1:5">
      <c r="A343" s="9"/>
      <c r="B343" s="9"/>
      <c r="C343" s="9"/>
      <c r="D343" s="9"/>
      <c r="E343" s="9"/>
    </row>
    <row r="344" ht="15.75" customHeight="1" spans="1:5">
      <c r="A344" s="9"/>
      <c r="B344" s="9"/>
      <c r="C344" s="9"/>
      <c r="D344" s="9"/>
      <c r="E344" s="9"/>
    </row>
    <row r="345" ht="15.75" customHeight="1" spans="1:5">
      <c r="A345" s="9"/>
      <c r="B345" s="9"/>
      <c r="C345" s="9"/>
      <c r="D345" s="9"/>
      <c r="E345" s="9"/>
    </row>
    <row r="346" ht="15.75" customHeight="1" spans="1:5">
      <c r="A346" s="9"/>
      <c r="B346" s="9"/>
      <c r="C346" s="9"/>
      <c r="D346" s="9"/>
      <c r="E346" s="9"/>
    </row>
    <row r="347" ht="15.75" customHeight="1" spans="1:5">
      <c r="A347" s="9"/>
      <c r="B347" s="9"/>
      <c r="C347" s="9"/>
      <c r="D347" s="9"/>
      <c r="E347" s="9"/>
    </row>
    <row r="348" ht="15.75" customHeight="1" spans="1:5">
      <c r="A348" s="9"/>
      <c r="B348" s="9"/>
      <c r="C348" s="9"/>
      <c r="D348" s="9"/>
      <c r="E348" s="9"/>
    </row>
    <row r="349" ht="15.75" customHeight="1" spans="1:5">
      <c r="A349" s="9"/>
      <c r="B349" s="9"/>
      <c r="C349" s="9"/>
      <c r="D349" s="9"/>
      <c r="E349" s="9"/>
    </row>
    <row r="350" ht="15.75" customHeight="1" spans="1:5">
      <c r="A350" s="9"/>
      <c r="B350" s="9"/>
      <c r="C350" s="9"/>
      <c r="D350" s="9"/>
      <c r="E350" s="9"/>
    </row>
    <row r="351" ht="15.75" customHeight="1" spans="1:5">
      <c r="A351" s="9"/>
      <c r="B351" s="9"/>
      <c r="C351" s="9"/>
      <c r="D351" s="9"/>
      <c r="E351" s="9"/>
    </row>
    <row r="352" ht="15.75" customHeight="1" spans="1:5">
      <c r="A352" s="9"/>
      <c r="B352" s="9"/>
      <c r="C352" s="9"/>
      <c r="D352" s="9"/>
      <c r="E352" s="9"/>
    </row>
    <row r="353" ht="15.75" customHeight="1" spans="1:5">
      <c r="A353" s="9"/>
      <c r="B353" s="9"/>
      <c r="C353" s="9"/>
      <c r="D353" s="9"/>
      <c r="E353" s="9"/>
    </row>
    <row r="354" ht="15.75" customHeight="1" spans="1:5">
      <c r="A354" s="9"/>
      <c r="B354" s="9"/>
      <c r="C354" s="9"/>
      <c r="D354" s="9"/>
      <c r="E354" s="9"/>
    </row>
    <row r="355" ht="15.75" customHeight="1" spans="1:5">
      <c r="A355" s="9"/>
      <c r="B355" s="9"/>
      <c r="C355" s="9"/>
      <c r="D355" s="9"/>
      <c r="E355" s="9"/>
    </row>
    <row r="356" ht="15.75" customHeight="1" spans="1:5">
      <c r="A356" s="9"/>
      <c r="B356" s="9"/>
      <c r="C356" s="9"/>
      <c r="D356" s="9"/>
      <c r="E356" s="9"/>
    </row>
    <row r="357" ht="15.75" customHeight="1" spans="1:5">
      <c r="A357" s="9"/>
      <c r="B357" s="9"/>
      <c r="C357" s="9"/>
      <c r="D357" s="9"/>
      <c r="E357" s="9"/>
    </row>
    <row r="358" ht="15.75" customHeight="1" spans="1:5">
      <c r="A358" s="9"/>
      <c r="B358" s="9"/>
      <c r="C358" s="9"/>
      <c r="D358" s="9"/>
      <c r="E358" s="9"/>
    </row>
    <row r="359" ht="15.75" customHeight="1" spans="1:5">
      <c r="A359" s="9"/>
      <c r="B359" s="9"/>
      <c r="C359" s="9"/>
      <c r="D359" s="9"/>
      <c r="E359" s="9"/>
    </row>
    <row r="360" ht="15.75" customHeight="1" spans="1:5">
      <c r="A360" s="9"/>
      <c r="B360" s="9"/>
      <c r="C360" s="9"/>
      <c r="D360" s="9"/>
      <c r="E360" s="9"/>
    </row>
    <row r="361" ht="15.75" customHeight="1" spans="1:5">
      <c r="A361" s="9"/>
      <c r="B361" s="9"/>
      <c r="C361" s="9"/>
      <c r="D361" s="9"/>
      <c r="E361" s="9"/>
    </row>
    <row r="362" ht="15.75" customHeight="1" spans="1:5">
      <c r="A362" s="9"/>
      <c r="B362" s="9"/>
      <c r="C362" s="9"/>
      <c r="D362" s="9"/>
      <c r="E362" s="9"/>
    </row>
    <row r="363" ht="15.75" customHeight="1" spans="1:5">
      <c r="A363" s="9"/>
      <c r="B363" s="9"/>
      <c r="C363" s="9"/>
      <c r="D363" s="9"/>
      <c r="E363" s="9"/>
    </row>
    <row r="364" ht="15.75" customHeight="1" spans="1:5">
      <c r="A364" s="9"/>
      <c r="B364" s="9"/>
      <c r="C364" s="9"/>
      <c r="D364" s="9"/>
      <c r="E364" s="9"/>
    </row>
    <row r="365" ht="15.75" customHeight="1" spans="1:5">
      <c r="A365" s="9"/>
      <c r="B365" s="9"/>
      <c r="C365" s="9"/>
      <c r="D365" s="9"/>
      <c r="E365" s="9"/>
    </row>
    <row r="366" ht="15.75" customHeight="1" spans="1:5">
      <c r="A366" s="9"/>
      <c r="B366" s="9"/>
      <c r="C366" s="9"/>
      <c r="D366" s="9"/>
      <c r="E366" s="9"/>
    </row>
    <row r="367" ht="15.75" customHeight="1" spans="1:5">
      <c r="A367" s="9"/>
      <c r="B367" s="9"/>
      <c r="C367" s="9"/>
      <c r="D367" s="9"/>
      <c r="E367" s="9"/>
    </row>
    <row r="368" ht="15.75" customHeight="1" spans="1:5">
      <c r="A368" s="9"/>
      <c r="B368" s="9"/>
      <c r="C368" s="9"/>
      <c r="D368" s="9"/>
      <c r="E368" s="9"/>
    </row>
    <row r="369" ht="15.75" customHeight="1" spans="1:5">
      <c r="A369" s="9"/>
      <c r="B369" s="9"/>
      <c r="C369" s="9"/>
      <c r="D369" s="9"/>
      <c r="E369" s="9"/>
    </row>
    <row r="370" ht="15.75" customHeight="1" spans="1:5">
      <c r="A370" s="9"/>
      <c r="B370" s="9"/>
      <c r="C370" s="9"/>
      <c r="D370" s="9"/>
      <c r="E370" s="9"/>
    </row>
    <row r="371" ht="15.75" customHeight="1" spans="1:5">
      <c r="A371" s="9"/>
      <c r="B371" s="9"/>
      <c r="C371" s="9"/>
      <c r="D371" s="9"/>
      <c r="E371" s="9"/>
    </row>
    <row r="372" ht="15.75" customHeight="1" spans="1:5">
      <c r="A372" s="9"/>
      <c r="B372" s="9"/>
      <c r="C372" s="9"/>
      <c r="D372" s="9"/>
      <c r="E372" s="9"/>
    </row>
    <row r="373" ht="15.75" customHeight="1" spans="1:5">
      <c r="A373" s="9"/>
      <c r="B373" s="9"/>
      <c r="C373" s="9"/>
      <c r="D373" s="9"/>
      <c r="E373" s="9"/>
    </row>
    <row r="374" ht="15.75" customHeight="1" spans="1:5">
      <c r="A374" s="9"/>
      <c r="B374" s="9"/>
      <c r="C374" s="9"/>
      <c r="D374" s="9"/>
      <c r="E374" s="9"/>
    </row>
    <row r="375" ht="15.75" customHeight="1" spans="1:5">
      <c r="A375" s="9"/>
      <c r="B375" s="9"/>
      <c r="C375" s="9"/>
      <c r="D375" s="9"/>
      <c r="E375" s="9"/>
    </row>
    <row r="376" ht="15.75" customHeight="1" spans="1:5">
      <c r="A376" s="9"/>
      <c r="B376" s="9"/>
      <c r="C376" s="9"/>
      <c r="D376" s="9"/>
      <c r="E376" s="9"/>
    </row>
    <row r="377" ht="15.75" customHeight="1" spans="1:5">
      <c r="A377" s="9"/>
      <c r="B377" s="9"/>
      <c r="C377" s="9"/>
      <c r="D377" s="9"/>
      <c r="E377" s="9"/>
    </row>
    <row r="378" ht="15.75" customHeight="1" spans="1:5">
      <c r="A378" s="9"/>
      <c r="B378" s="9"/>
      <c r="C378" s="9"/>
      <c r="D378" s="9"/>
      <c r="E378" s="9"/>
    </row>
    <row r="379" ht="15.75" customHeight="1" spans="1:5">
      <c r="A379" s="9"/>
      <c r="B379" s="9"/>
      <c r="C379" s="9"/>
      <c r="D379" s="9"/>
      <c r="E379" s="9"/>
    </row>
    <row r="380" ht="15.75" customHeight="1" spans="1:5">
      <c r="A380" s="9"/>
      <c r="B380" s="9"/>
      <c r="C380" s="9"/>
      <c r="D380" s="9"/>
      <c r="E380" s="9"/>
    </row>
    <row r="381" ht="15.75" customHeight="1" spans="1:5">
      <c r="A381" s="9"/>
      <c r="B381" s="9"/>
      <c r="C381" s="9"/>
      <c r="D381" s="9"/>
      <c r="E381" s="9"/>
    </row>
    <row r="382" ht="15.75" customHeight="1" spans="1:5">
      <c r="A382" s="9"/>
      <c r="B382" s="9"/>
      <c r="C382" s="9"/>
      <c r="D382" s="9"/>
      <c r="E382" s="9"/>
    </row>
    <row r="383" ht="15.75" customHeight="1" spans="1:5">
      <c r="A383" s="9"/>
      <c r="B383" s="9"/>
      <c r="C383" s="9"/>
      <c r="D383" s="9"/>
      <c r="E383" s="9"/>
    </row>
    <row r="384" ht="15.75" customHeight="1" spans="1:5">
      <c r="A384" s="9"/>
      <c r="B384" s="9"/>
      <c r="C384" s="9"/>
      <c r="D384" s="9"/>
      <c r="E384" s="9"/>
    </row>
    <row r="385" ht="15.75" customHeight="1" spans="1:5">
      <c r="A385" s="9"/>
      <c r="B385" s="9"/>
      <c r="C385" s="9"/>
      <c r="D385" s="9"/>
      <c r="E385" s="9"/>
    </row>
    <row r="386" ht="15.75" customHeight="1" spans="1:5">
      <c r="A386" s="9"/>
      <c r="B386" s="9"/>
      <c r="C386" s="9"/>
      <c r="D386" s="9"/>
      <c r="E386" s="9"/>
    </row>
    <row r="387" ht="15.75" customHeight="1" spans="1:5">
      <c r="A387" s="9"/>
      <c r="B387" s="9"/>
      <c r="C387" s="9"/>
      <c r="D387" s="9"/>
      <c r="E387" s="9"/>
    </row>
    <row r="388" ht="15.75" customHeight="1" spans="1:5">
      <c r="A388" s="9"/>
      <c r="B388" s="9"/>
      <c r="C388" s="9"/>
      <c r="D388" s="9"/>
      <c r="E388" s="9"/>
    </row>
    <row r="389" ht="15.75" customHeight="1" spans="1:5">
      <c r="A389" s="9"/>
      <c r="B389" s="9"/>
      <c r="C389" s="9"/>
      <c r="D389" s="9"/>
      <c r="E389" s="9"/>
    </row>
    <row r="390" ht="15.75" customHeight="1" spans="1:5">
      <c r="A390" s="9"/>
      <c r="B390" s="9"/>
      <c r="C390" s="9"/>
      <c r="D390" s="9"/>
      <c r="E390" s="9"/>
    </row>
    <row r="391" ht="15.75" customHeight="1" spans="1:5">
      <c r="A391" s="9"/>
      <c r="B391" s="9"/>
      <c r="C391" s="9"/>
      <c r="D391" s="9"/>
      <c r="E391" s="9"/>
    </row>
    <row r="392" ht="15.75" customHeight="1" spans="1:5">
      <c r="A392" s="9"/>
      <c r="B392" s="9"/>
      <c r="C392" s="9"/>
      <c r="D392" s="9"/>
      <c r="E392" s="9"/>
    </row>
    <row r="393" ht="15.75" customHeight="1" spans="1:5">
      <c r="A393" s="9"/>
      <c r="B393" s="9"/>
      <c r="C393" s="9"/>
      <c r="D393" s="9"/>
      <c r="E393" s="9"/>
    </row>
    <row r="394" ht="15.75" customHeight="1" spans="1:5">
      <c r="A394" s="9"/>
      <c r="B394" s="9"/>
      <c r="C394" s="9"/>
      <c r="D394" s="9"/>
      <c r="E394" s="9"/>
    </row>
    <row r="395" ht="15.75" customHeight="1" spans="1:5">
      <c r="A395" s="9"/>
      <c r="B395" s="9"/>
      <c r="C395" s="9"/>
      <c r="D395" s="9"/>
      <c r="E395" s="9"/>
    </row>
    <row r="396" ht="15.75" customHeight="1" spans="1:5">
      <c r="A396" s="9"/>
      <c r="B396" s="9"/>
      <c r="C396" s="9"/>
      <c r="D396" s="9"/>
      <c r="E396" s="9"/>
    </row>
    <row r="397" ht="15.75" customHeight="1" spans="1:5">
      <c r="A397" s="9"/>
      <c r="B397" s="9"/>
      <c r="C397" s="9"/>
      <c r="D397" s="9"/>
      <c r="E397" s="9"/>
    </row>
    <row r="398" ht="15.75" customHeight="1" spans="1:5">
      <c r="A398" s="9"/>
      <c r="B398" s="9"/>
      <c r="C398" s="9"/>
      <c r="D398" s="9"/>
      <c r="E398" s="9"/>
    </row>
    <row r="399" ht="15.75" customHeight="1" spans="1:5">
      <c r="A399" s="9"/>
      <c r="B399" s="9"/>
      <c r="C399" s="9"/>
      <c r="D399" s="9"/>
      <c r="E399" s="9"/>
    </row>
    <row r="400" ht="15.75" customHeight="1" spans="1:5">
      <c r="A400" s="9"/>
      <c r="B400" s="9"/>
      <c r="C400" s="9"/>
      <c r="D400" s="9"/>
      <c r="E400" s="9"/>
    </row>
    <row r="401" ht="15.75" customHeight="1" spans="1:5">
      <c r="A401" s="9"/>
      <c r="B401" s="9"/>
      <c r="C401" s="9"/>
      <c r="D401" s="9"/>
      <c r="E401" s="9"/>
    </row>
    <row r="402" ht="15.75" customHeight="1" spans="1:5">
      <c r="A402" s="9"/>
      <c r="B402" s="9"/>
      <c r="C402" s="9"/>
      <c r="D402" s="9"/>
      <c r="E402" s="9"/>
    </row>
    <row r="403" ht="15.75" customHeight="1" spans="1:5">
      <c r="A403" s="9"/>
      <c r="B403" s="9"/>
      <c r="C403" s="9"/>
      <c r="D403" s="9"/>
      <c r="E403" s="9"/>
    </row>
    <row r="404" ht="15.75" customHeight="1" spans="1:5">
      <c r="A404" s="9"/>
      <c r="B404" s="9"/>
      <c r="C404" s="9"/>
      <c r="D404" s="9"/>
      <c r="E404" s="9"/>
    </row>
    <row r="405" ht="15.75" customHeight="1" spans="1:5">
      <c r="A405" s="9"/>
      <c r="B405" s="9"/>
      <c r="C405" s="9"/>
      <c r="D405" s="9"/>
      <c r="E405" s="9"/>
    </row>
    <row r="406" ht="15.75" customHeight="1" spans="1:5">
      <c r="A406" s="9"/>
      <c r="B406" s="9"/>
      <c r="C406" s="9"/>
      <c r="D406" s="9"/>
      <c r="E406" s="9"/>
    </row>
    <row r="407" ht="15.75" customHeight="1" spans="1:5">
      <c r="A407" s="9"/>
      <c r="B407" s="9"/>
      <c r="C407" s="9"/>
      <c r="D407" s="9"/>
      <c r="E407" s="9"/>
    </row>
    <row r="408" ht="15.75" customHeight="1" spans="1:5">
      <c r="A408" s="9"/>
      <c r="B408" s="9"/>
      <c r="C408" s="9"/>
      <c r="D408" s="9"/>
      <c r="E408" s="9"/>
    </row>
    <row r="409" ht="15.75" customHeight="1" spans="1:5">
      <c r="A409" s="9"/>
      <c r="B409" s="9"/>
      <c r="C409" s="9"/>
      <c r="D409" s="9"/>
      <c r="E409" s="9"/>
    </row>
    <row r="410" ht="15.75" customHeight="1" spans="1:5">
      <c r="A410" s="9"/>
      <c r="B410" s="9"/>
      <c r="C410" s="9"/>
      <c r="D410" s="9"/>
      <c r="E410" s="9"/>
    </row>
    <row r="411" ht="15.75" customHeight="1" spans="1:5">
      <c r="A411" s="9"/>
      <c r="B411" s="9"/>
      <c r="C411" s="9"/>
      <c r="D411" s="9"/>
      <c r="E411" s="9"/>
    </row>
    <row r="412" ht="15.75" customHeight="1" spans="1:5">
      <c r="A412" s="9"/>
      <c r="B412" s="9"/>
      <c r="C412" s="9"/>
      <c r="D412" s="9"/>
      <c r="E412" s="9"/>
    </row>
    <row r="413" ht="15.75" customHeight="1" spans="1:5">
      <c r="A413" s="9"/>
      <c r="B413" s="9"/>
      <c r="C413" s="9"/>
      <c r="D413" s="9"/>
      <c r="E413" s="9"/>
    </row>
    <row r="414" ht="15.75" customHeight="1" spans="1:5">
      <c r="A414" s="9"/>
      <c r="B414" s="9"/>
      <c r="C414" s="9"/>
      <c r="D414" s="9"/>
      <c r="E414" s="9"/>
    </row>
    <row r="415" ht="15.75" customHeight="1" spans="1:5">
      <c r="A415" s="9"/>
      <c r="B415" s="9"/>
      <c r="C415" s="9"/>
      <c r="D415" s="9"/>
      <c r="E415" s="9"/>
    </row>
    <row r="416" ht="15.75" customHeight="1" spans="1:5">
      <c r="A416" s="9"/>
      <c r="B416" s="9"/>
      <c r="C416" s="9"/>
      <c r="D416" s="9"/>
      <c r="E416" s="9"/>
    </row>
    <row r="417" ht="15.75" customHeight="1" spans="1:5">
      <c r="A417" s="9"/>
      <c r="B417" s="9"/>
      <c r="C417" s="9"/>
      <c r="D417" s="9"/>
      <c r="E417" s="9"/>
    </row>
    <row r="418" ht="15.75" customHeight="1" spans="1:5">
      <c r="A418" s="9"/>
      <c r="B418" s="9"/>
      <c r="C418" s="9"/>
      <c r="D418" s="9"/>
      <c r="E418" s="9"/>
    </row>
    <row r="419" ht="15.75" customHeight="1" spans="1:5">
      <c r="A419" s="9"/>
      <c r="B419" s="9"/>
      <c r="C419" s="9"/>
      <c r="D419" s="9"/>
      <c r="E419" s="9"/>
    </row>
    <row r="420" ht="15.75" customHeight="1" spans="1:5">
      <c r="A420" s="9"/>
      <c r="B420" s="9"/>
      <c r="C420" s="9"/>
      <c r="D420" s="9"/>
      <c r="E420" s="9"/>
    </row>
    <row r="421" ht="15.75" customHeight="1" spans="1:5">
      <c r="A421" s="9"/>
      <c r="B421" s="9"/>
      <c r="C421" s="9"/>
      <c r="D421" s="9"/>
      <c r="E421" s="9"/>
    </row>
    <row r="422" ht="15.75" customHeight="1" spans="1:5">
      <c r="A422" s="9"/>
      <c r="B422" s="9"/>
      <c r="C422" s="9"/>
      <c r="D422" s="9"/>
      <c r="E422" s="9"/>
    </row>
    <row r="423" ht="15.75" customHeight="1" spans="1:5">
      <c r="A423" s="9"/>
      <c r="B423" s="9"/>
      <c r="C423" s="9"/>
      <c r="D423" s="9"/>
      <c r="E423" s="9"/>
    </row>
    <row r="424" ht="15.75" customHeight="1" spans="1:5">
      <c r="A424" s="9"/>
      <c r="B424" s="9"/>
      <c r="C424" s="9"/>
      <c r="D424" s="9"/>
      <c r="E424" s="9"/>
    </row>
    <row r="425" ht="15.75" customHeight="1" spans="1:5">
      <c r="A425" s="9"/>
      <c r="B425" s="9"/>
      <c r="C425" s="9"/>
      <c r="D425" s="9"/>
      <c r="E425" s="9"/>
    </row>
    <row r="426" ht="15.75" customHeight="1" spans="1:5">
      <c r="A426" s="9"/>
      <c r="B426" s="9"/>
      <c r="C426" s="9"/>
      <c r="D426" s="9"/>
      <c r="E426" s="9"/>
    </row>
    <row r="427" ht="15.75" customHeight="1" spans="1:5">
      <c r="A427" s="9"/>
      <c r="B427" s="9"/>
      <c r="C427" s="9"/>
      <c r="D427" s="9"/>
      <c r="E427" s="9"/>
    </row>
    <row r="428" ht="15.75" customHeight="1" spans="1:5">
      <c r="A428" s="9"/>
      <c r="B428" s="9"/>
      <c r="C428" s="9"/>
      <c r="D428" s="9"/>
      <c r="E428" s="9"/>
    </row>
    <row r="429" ht="15.75" customHeight="1" spans="1:5">
      <c r="A429" s="9"/>
      <c r="B429" s="9"/>
      <c r="C429" s="9"/>
      <c r="D429" s="9"/>
      <c r="E429" s="9"/>
    </row>
    <row r="430" ht="15.75" customHeight="1" spans="1:5">
      <c r="A430" s="9"/>
      <c r="B430" s="9"/>
      <c r="C430" s="9"/>
      <c r="D430" s="9"/>
      <c r="E430" s="9"/>
    </row>
    <row r="431" ht="15.75" customHeight="1" spans="1:5">
      <c r="A431" s="9"/>
      <c r="B431" s="9"/>
      <c r="C431" s="9"/>
      <c r="D431" s="9"/>
      <c r="E431" s="9"/>
    </row>
    <row r="432" ht="15.75" customHeight="1" spans="1:5">
      <c r="A432" s="9"/>
      <c r="B432" s="9"/>
      <c r="C432" s="9"/>
      <c r="D432" s="9"/>
      <c r="E432" s="9"/>
    </row>
    <row r="433" ht="15.75" customHeight="1" spans="1:5">
      <c r="A433" s="9"/>
      <c r="B433" s="9"/>
      <c r="C433" s="9"/>
      <c r="D433" s="9"/>
      <c r="E433" s="9"/>
    </row>
    <row r="434" ht="15.75" customHeight="1" spans="1:5">
      <c r="A434" s="9"/>
      <c r="B434" s="9"/>
      <c r="C434" s="9"/>
      <c r="D434" s="9"/>
      <c r="E434" s="9"/>
    </row>
    <row r="435" ht="15.75" customHeight="1" spans="1:5">
      <c r="A435" s="9"/>
      <c r="B435" s="9"/>
      <c r="C435" s="9"/>
      <c r="D435" s="9"/>
      <c r="E435" s="9"/>
    </row>
    <row r="436" ht="15.75" customHeight="1" spans="1:5">
      <c r="A436" s="9"/>
      <c r="B436" s="9"/>
      <c r="C436" s="9"/>
      <c r="D436" s="9"/>
      <c r="E436" s="9"/>
    </row>
    <row r="437" ht="15.75" customHeight="1" spans="1:5">
      <c r="A437" s="9"/>
      <c r="B437" s="9"/>
      <c r="C437" s="9"/>
      <c r="D437" s="9"/>
      <c r="E437" s="9"/>
    </row>
    <row r="438" ht="15.75" customHeight="1" spans="1:5">
      <c r="A438" s="9"/>
      <c r="B438" s="9"/>
      <c r="C438" s="9"/>
      <c r="D438" s="9"/>
      <c r="E438" s="9"/>
    </row>
    <row r="439" ht="15.75" customHeight="1" spans="1:5">
      <c r="A439" s="9"/>
      <c r="B439" s="9"/>
      <c r="C439" s="9"/>
      <c r="D439" s="9"/>
      <c r="E439" s="9"/>
    </row>
    <row r="440" ht="15.75" customHeight="1" spans="1:5">
      <c r="A440" s="9"/>
      <c r="B440" s="9"/>
      <c r="C440" s="9"/>
      <c r="D440" s="9"/>
      <c r="E440" s="9"/>
    </row>
    <row r="441" ht="15.75" customHeight="1" spans="1:5">
      <c r="A441" s="9"/>
      <c r="B441" s="9"/>
      <c r="C441" s="9"/>
      <c r="D441" s="9"/>
      <c r="E441" s="9"/>
    </row>
    <row r="442" ht="15.75" customHeight="1" spans="1:5">
      <c r="A442" s="9"/>
      <c r="B442" s="9"/>
      <c r="C442" s="9"/>
      <c r="D442" s="9"/>
      <c r="E442" s="9"/>
    </row>
    <row r="443" ht="15.75" customHeight="1" spans="1:5">
      <c r="A443" s="9"/>
      <c r="B443" s="9"/>
      <c r="C443" s="9"/>
      <c r="D443" s="9"/>
      <c r="E443" s="9"/>
    </row>
    <row r="444" ht="15.75" customHeight="1" spans="1:5">
      <c r="A444" s="9"/>
      <c r="B444" s="9"/>
      <c r="C444" s="9"/>
      <c r="D444" s="9"/>
      <c r="E444" s="9"/>
    </row>
    <row r="445" ht="15.75" customHeight="1" spans="1:5">
      <c r="A445" s="9"/>
      <c r="B445" s="9"/>
      <c r="C445" s="9"/>
      <c r="D445" s="9"/>
      <c r="E445" s="9"/>
    </row>
    <row r="446" ht="15.75" customHeight="1" spans="1:5">
      <c r="A446" s="9"/>
      <c r="B446" s="9"/>
      <c r="C446" s="9"/>
      <c r="D446" s="9"/>
      <c r="E446" s="9"/>
    </row>
    <row r="447" ht="15.75" customHeight="1" spans="1:5">
      <c r="A447" s="9"/>
      <c r="B447" s="9"/>
      <c r="C447" s="9"/>
      <c r="D447" s="9"/>
      <c r="E447" s="9"/>
    </row>
    <row r="448" ht="15.75" customHeight="1" spans="1:5">
      <c r="A448" s="9"/>
      <c r="B448" s="9"/>
      <c r="C448" s="9"/>
      <c r="D448" s="9"/>
      <c r="E448" s="9"/>
    </row>
    <row r="449" ht="15.75" customHeight="1" spans="1:5">
      <c r="A449" s="9"/>
      <c r="B449" s="9"/>
      <c r="C449" s="9"/>
      <c r="D449" s="9"/>
      <c r="E449" s="9"/>
    </row>
    <row r="450" ht="15.75" customHeight="1" spans="1:5">
      <c r="A450" s="9"/>
      <c r="B450" s="9"/>
      <c r="C450" s="9"/>
      <c r="D450" s="9"/>
      <c r="E450" s="9"/>
    </row>
    <row r="451" ht="15.75" customHeight="1" spans="1:5">
      <c r="A451" s="9"/>
      <c r="B451" s="9"/>
      <c r="C451" s="9"/>
      <c r="D451" s="9"/>
      <c r="E451" s="9"/>
    </row>
    <row r="452" ht="15.75" customHeight="1" spans="1:5">
      <c r="A452" s="9"/>
      <c r="B452" s="9"/>
      <c r="C452" s="9"/>
      <c r="D452" s="9"/>
      <c r="E452" s="9"/>
    </row>
    <row r="453" ht="15.75" customHeight="1" spans="1:5">
      <c r="A453" s="9"/>
      <c r="B453" s="9"/>
      <c r="C453" s="9"/>
      <c r="D453" s="9"/>
      <c r="E453" s="9"/>
    </row>
    <row r="454" ht="15.75" customHeight="1" spans="1:5">
      <c r="A454" s="9"/>
      <c r="B454" s="9"/>
      <c r="C454" s="9"/>
      <c r="D454" s="9"/>
      <c r="E454" s="9"/>
    </row>
    <row r="455" ht="15.75" customHeight="1" spans="1:5">
      <c r="A455" s="9"/>
      <c r="B455" s="9"/>
      <c r="C455" s="9"/>
      <c r="D455" s="9"/>
      <c r="E455" s="9"/>
    </row>
    <row r="456" ht="15.75" customHeight="1" spans="1:5">
      <c r="A456" s="9"/>
      <c r="B456" s="9"/>
      <c r="C456" s="9"/>
      <c r="D456" s="9"/>
      <c r="E456" s="9"/>
    </row>
    <row r="457" ht="15.75" customHeight="1" spans="1:5">
      <c r="A457" s="9"/>
      <c r="B457" s="9"/>
      <c r="C457" s="9"/>
      <c r="D457" s="9"/>
      <c r="E457" s="9"/>
    </row>
    <row r="458" ht="15.75" customHeight="1" spans="1:5">
      <c r="A458" s="9"/>
      <c r="B458" s="9"/>
      <c r="C458" s="9"/>
      <c r="D458" s="9"/>
      <c r="E458" s="9"/>
    </row>
    <row r="459" ht="15.75" customHeight="1" spans="1:5">
      <c r="A459" s="9"/>
      <c r="B459" s="9"/>
      <c r="C459" s="9"/>
      <c r="D459" s="9"/>
      <c r="E459" s="9"/>
    </row>
    <row r="460" ht="15.75" customHeight="1" spans="1:5">
      <c r="A460" s="9"/>
      <c r="B460" s="9"/>
      <c r="C460" s="9"/>
      <c r="D460" s="9"/>
      <c r="E460" s="9"/>
    </row>
    <row r="461" ht="15.75" customHeight="1" spans="1:5">
      <c r="A461" s="9"/>
      <c r="B461" s="9"/>
      <c r="C461" s="9"/>
      <c r="D461" s="9"/>
      <c r="E461" s="9"/>
    </row>
    <row r="462" ht="15.75" customHeight="1" spans="1:5">
      <c r="A462" s="9"/>
      <c r="B462" s="9"/>
      <c r="C462" s="9"/>
      <c r="D462" s="9"/>
      <c r="E462" s="9"/>
    </row>
    <row r="463" ht="15.75" customHeight="1" spans="1:5">
      <c r="A463" s="9"/>
      <c r="B463" s="9"/>
      <c r="C463" s="9"/>
      <c r="D463" s="9"/>
      <c r="E463" s="9"/>
    </row>
    <row r="464" ht="15.75" customHeight="1" spans="1:5">
      <c r="A464" s="9"/>
      <c r="B464" s="9"/>
      <c r="C464" s="9"/>
      <c r="D464" s="9"/>
      <c r="E464" s="9"/>
    </row>
    <row r="465" ht="15.75" customHeight="1" spans="1:5">
      <c r="A465" s="9"/>
      <c r="B465" s="9"/>
      <c r="C465" s="9"/>
      <c r="D465" s="9"/>
      <c r="E465" s="9"/>
    </row>
    <row r="466" ht="15.75" customHeight="1" spans="1:5">
      <c r="A466" s="9"/>
      <c r="B466" s="9"/>
      <c r="C466" s="9"/>
      <c r="D466" s="9"/>
      <c r="E466" s="9"/>
    </row>
    <row r="467" ht="15.75" customHeight="1" spans="1:5">
      <c r="A467" s="9"/>
      <c r="B467" s="9"/>
      <c r="C467" s="9"/>
      <c r="D467" s="9"/>
      <c r="E467" s="9"/>
    </row>
    <row r="468" ht="15.75" customHeight="1" spans="1:5">
      <c r="A468" s="9"/>
      <c r="B468" s="9"/>
      <c r="C468" s="9"/>
      <c r="D468" s="9"/>
      <c r="E468" s="9"/>
    </row>
    <row r="469" ht="15.75" customHeight="1" spans="1:5">
      <c r="A469" s="9"/>
      <c r="B469" s="9"/>
      <c r="C469" s="9"/>
      <c r="D469" s="9"/>
      <c r="E469" s="9"/>
    </row>
    <row r="470" ht="15.75" customHeight="1" spans="1:5">
      <c r="A470" s="9"/>
      <c r="B470" s="9"/>
      <c r="C470" s="9"/>
      <c r="D470" s="9"/>
      <c r="E470" s="9"/>
    </row>
    <row r="471" ht="15.75" customHeight="1" spans="1:5">
      <c r="A471" s="9"/>
      <c r="B471" s="9"/>
      <c r="C471" s="9"/>
      <c r="D471" s="9"/>
      <c r="E471" s="9"/>
    </row>
    <row r="472" ht="15.75" customHeight="1" spans="1:5">
      <c r="A472" s="9"/>
      <c r="B472" s="9"/>
      <c r="C472" s="9"/>
      <c r="D472" s="9"/>
      <c r="E472" s="9"/>
    </row>
    <row r="473" ht="15.75" customHeight="1" spans="1:5">
      <c r="A473" s="9"/>
      <c r="B473" s="9"/>
      <c r="C473" s="9"/>
      <c r="D473" s="9"/>
      <c r="E473" s="9"/>
    </row>
    <row r="474" ht="15.75" customHeight="1" spans="1:5">
      <c r="A474" s="9"/>
      <c r="B474" s="9"/>
      <c r="C474" s="9"/>
      <c r="D474" s="9"/>
      <c r="E474" s="9"/>
    </row>
    <row r="475" ht="15.75" customHeight="1" spans="1:5">
      <c r="A475" s="9"/>
      <c r="B475" s="9"/>
      <c r="C475" s="9"/>
      <c r="D475" s="9"/>
      <c r="E475" s="9"/>
    </row>
    <row r="476" ht="15.75" customHeight="1" spans="1:5">
      <c r="A476" s="9"/>
      <c r="B476" s="9"/>
      <c r="C476" s="9"/>
      <c r="D476" s="9"/>
      <c r="E476" s="9"/>
    </row>
    <row r="477" ht="15.75" customHeight="1" spans="1:5">
      <c r="A477" s="9"/>
      <c r="B477" s="9"/>
      <c r="C477" s="9"/>
      <c r="D477" s="9"/>
      <c r="E477" s="9"/>
    </row>
    <row r="478" ht="15.75" customHeight="1" spans="1:5">
      <c r="A478" s="9"/>
      <c r="B478" s="9"/>
      <c r="C478" s="9"/>
      <c r="D478" s="9"/>
      <c r="E478" s="9"/>
    </row>
    <row r="479" ht="15.75" customHeight="1" spans="1:5">
      <c r="A479" s="9"/>
      <c r="B479" s="9"/>
      <c r="C479" s="9"/>
      <c r="D479" s="9"/>
      <c r="E479" s="9"/>
    </row>
    <row r="480" ht="15.75" customHeight="1" spans="1:5">
      <c r="A480" s="9"/>
      <c r="B480" s="9"/>
      <c r="C480" s="9"/>
      <c r="D480" s="9"/>
      <c r="E480" s="9"/>
    </row>
    <row r="481" ht="15.75" customHeight="1" spans="1:5">
      <c r="A481" s="9"/>
      <c r="B481" s="9"/>
      <c r="C481" s="9"/>
      <c r="D481" s="9"/>
      <c r="E481" s="9"/>
    </row>
    <row r="482" ht="15.75" customHeight="1" spans="1:5">
      <c r="A482" s="9"/>
      <c r="B482" s="9"/>
      <c r="C482" s="9"/>
      <c r="D482" s="9"/>
      <c r="E482" s="9"/>
    </row>
    <row r="483" ht="15.75" customHeight="1" spans="1:5">
      <c r="A483" s="9"/>
      <c r="B483" s="9"/>
      <c r="C483" s="9"/>
      <c r="D483" s="9"/>
      <c r="E483" s="9"/>
    </row>
    <row r="484" ht="15.75" customHeight="1" spans="1:5">
      <c r="A484" s="9"/>
      <c r="B484" s="9"/>
      <c r="C484" s="9"/>
      <c r="D484" s="9"/>
      <c r="E484" s="9"/>
    </row>
    <row r="485" ht="15.75" customHeight="1" spans="1:5">
      <c r="A485" s="9"/>
      <c r="B485" s="9"/>
      <c r="C485" s="9"/>
      <c r="D485" s="9"/>
      <c r="E485" s="9"/>
    </row>
    <row r="486" ht="15.75" customHeight="1" spans="1:5">
      <c r="A486" s="9"/>
      <c r="B486" s="9"/>
      <c r="C486" s="9"/>
      <c r="D486" s="9"/>
      <c r="E486" s="9"/>
    </row>
    <row r="487" ht="15.75" customHeight="1" spans="1:5">
      <c r="A487" s="9"/>
      <c r="B487" s="9"/>
      <c r="C487" s="9"/>
      <c r="D487" s="9"/>
      <c r="E487" s="9"/>
    </row>
    <row r="488" ht="15.75" customHeight="1" spans="1:5">
      <c r="A488" s="9"/>
      <c r="B488" s="9"/>
      <c r="C488" s="9"/>
      <c r="D488" s="9"/>
      <c r="E488" s="9"/>
    </row>
    <row r="489" ht="15.75" customHeight="1" spans="1:5">
      <c r="A489" s="9"/>
      <c r="B489" s="9"/>
      <c r="C489" s="9"/>
      <c r="D489" s="9"/>
      <c r="E489" s="9"/>
    </row>
    <row r="490" ht="15.75" customHeight="1" spans="1:5">
      <c r="A490" s="9"/>
      <c r="B490" s="9"/>
      <c r="C490" s="9"/>
      <c r="D490" s="9"/>
      <c r="E490" s="9"/>
    </row>
    <row r="491" ht="15.75" customHeight="1" spans="1:5">
      <c r="A491" s="9"/>
      <c r="B491" s="9"/>
      <c r="C491" s="9"/>
      <c r="D491" s="9"/>
      <c r="E491" s="9"/>
    </row>
    <row r="492" ht="15.75" customHeight="1" spans="1:5">
      <c r="A492" s="9"/>
      <c r="B492" s="9"/>
      <c r="C492" s="9"/>
      <c r="D492" s="9"/>
      <c r="E492" s="9"/>
    </row>
    <row r="493" ht="15.75" customHeight="1" spans="1:5">
      <c r="A493" s="9"/>
      <c r="B493" s="9"/>
      <c r="C493" s="9"/>
      <c r="D493" s="9"/>
      <c r="E493" s="9"/>
    </row>
    <row r="494" ht="15.75" customHeight="1" spans="1:5">
      <c r="A494" s="9"/>
      <c r="B494" s="9"/>
      <c r="C494" s="9"/>
      <c r="D494" s="9"/>
      <c r="E494" s="9"/>
    </row>
    <row r="495" ht="15.75" customHeight="1" spans="1:5">
      <c r="A495" s="9"/>
      <c r="B495" s="9"/>
      <c r="C495" s="9"/>
      <c r="D495" s="9"/>
      <c r="E495" s="9"/>
    </row>
    <row r="496" ht="15.75" customHeight="1" spans="1:5">
      <c r="A496" s="9"/>
      <c r="B496" s="9"/>
      <c r="C496" s="9"/>
      <c r="D496" s="9"/>
      <c r="E496" s="9"/>
    </row>
    <row r="497" ht="15.75" customHeight="1" spans="1:5">
      <c r="A497" s="9"/>
      <c r="B497" s="9"/>
      <c r="C497" s="9"/>
      <c r="D497" s="9"/>
      <c r="E497" s="9"/>
    </row>
    <row r="498" ht="15.75" customHeight="1" spans="1:5">
      <c r="A498" s="9"/>
      <c r="B498" s="9"/>
      <c r="C498" s="9"/>
      <c r="D498" s="9"/>
      <c r="E498" s="9"/>
    </row>
    <row r="499" ht="15.75" customHeight="1" spans="1:5">
      <c r="A499" s="9"/>
      <c r="B499" s="9"/>
      <c r="C499" s="9"/>
      <c r="D499" s="9"/>
      <c r="E499" s="9"/>
    </row>
    <row r="500" ht="15.75" customHeight="1" spans="1:5">
      <c r="A500" s="9"/>
      <c r="B500" s="9"/>
      <c r="C500" s="9"/>
      <c r="D500" s="9"/>
      <c r="E500" s="9"/>
    </row>
    <row r="501" ht="15.75" customHeight="1" spans="1:5">
      <c r="A501" s="9"/>
      <c r="B501" s="9"/>
      <c r="C501" s="9"/>
      <c r="D501" s="9"/>
      <c r="E501" s="9"/>
    </row>
    <row r="502" ht="15.75" customHeight="1" spans="1:5">
      <c r="A502" s="9"/>
      <c r="B502" s="9"/>
      <c r="C502" s="9"/>
      <c r="D502" s="9"/>
      <c r="E502" s="9"/>
    </row>
    <row r="503" ht="15.75" customHeight="1" spans="1:5">
      <c r="A503" s="9"/>
      <c r="B503" s="9"/>
      <c r="C503" s="9"/>
      <c r="D503" s="9"/>
      <c r="E503" s="9"/>
    </row>
    <row r="504" ht="15.75" customHeight="1" spans="1:5">
      <c r="A504" s="9"/>
      <c r="B504" s="9"/>
      <c r="C504" s="9"/>
      <c r="D504" s="9"/>
      <c r="E504" s="9"/>
    </row>
    <row r="505" ht="15.75" customHeight="1" spans="1:5">
      <c r="A505" s="9"/>
      <c r="B505" s="9"/>
      <c r="C505" s="9"/>
      <c r="D505" s="9"/>
      <c r="E505" s="9"/>
    </row>
    <row r="506" ht="15.75" customHeight="1" spans="1:5">
      <c r="A506" s="9"/>
      <c r="B506" s="9"/>
      <c r="C506" s="9"/>
      <c r="D506" s="9"/>
      <c r="E506" s="9"/>
    </row>
    <row r="507" ht="15.75" customHeight="1" spans="1:5">
      <c r="A507" s="9"/>
      <c r="B507" s="9"/>
      <c r="C507" s="9"/>
      <c r="D507" s="9"/>
      <c r="E507" s="9"/>
    </row>
    <row r="508" ht="15.75" customHeight="1" spans="1:5">
      <c r="A508" s="9"/>
      <c r="B508" s="9"/>
      <c r="C508" s="9"/>
      <c r="D508" s="9"/>
      <c r="E508" s="9"/>
    </row>
    <row r="509" ht="15.75" customHeight="1" spans="1:5">
      <c r="A509" s="9"/>
      <c r="B509" s="9"/>
      <c r="C509" s="9"/>
      <c r="D509" s="9"/>
      <c r="E509" s="9"/>
    </row>
    <row r="510" ht="15.75" customHeight="1" spans="1:5">
      <c r="A510" s="9"/>
      <c r="B510" s="9"/>
      <c r="C510" s="9"/>
      <c r="D510" s="9"/>
      <c r="E510" s="9"/>
    </row>
    <row r="511" ht="15.75" customHeight="1" spans="1:5">
      <c r="A511" s="9"/>
      <c r="B511" s="9"/>
      <c r="C511" s="9"/>
      <c r="D511" s="9"/>
      <c r="E511" s="9"/>
    </row>
    <row r="512" ht="15.75" customHeight="1" spans="1:5">
      <c r="A512" s="9"/>
      <c r="B512" s="9"/>
      <c r="C512" s="9"/>
      <c r="D512" s="9"/>
      <c r="E512" s="9"/>
    </row>
    <row r="513" ht="15.75" customHeight="1" spans="1:5">
      <c r="A513" s="9"/>
      <c r="B513" s="9"/>
      <c r="C513" s="9"/>
      <c r="D513" s="9"/>
      <c r="E513" s="9"/>
    </row>
    <row r="514" ht="15.75" customHeight="1" spans="1:5">
      <c r="A514" s="9"/>
      <c r="B514" s="9"/>
      <c r="C514" s="9"/>
      <c r="D514" s="9"/>
      <c r="E514" s="9"/>
    </row>
    <row r="515" ht="15.75" customHeight="1" spans="1:5">
      <c r="A515" s="9"/>
      <c r="B515" s="9"/>
      <c r="C515" s="9"/>
      <c r="D515" s="9"/>
      <c r="E515" s="9"/>
    </row>
    <row r="516" ht="15.75" customHeight="1" spans="1:5">
      <c r="A516" s="9"/>
      <c r="B516" s="9"/>
      <c r="C516" s="9"/>
      <c r="D516" s="9"/>
      <c r="E516" s="9"/>
    </row>
    <row r="517" ht="15.75" customHeight="1" spans="1:5">
      <c r="A517" s="9"/>
      <c r="B517" s="9"/>
      <c r="C517" s="9"/>
      <c r="D517" s="9"/>
      <c r="E517" s="9"/>
    </row>
    <row r="518" ht="15.75" customHeight="1" spans="1:5">
      <c r="A518" s="9"/>
      <c r="B518" s="9"/>
      <c r="C518" s="9"/>
      <c r="D518" s="9"/>
      <c r="E518" s="9"/>
    </row>
    <row r="519" ht="15.75" customHeight="1" spans="1:5">
      <c r="A519" s="9"/>
      <c r="B519" s="9"/>
      <c r="C519" s="9"/>
      <c r="D519" s="9"/>
      <c r="E519" s="9"/>
    </row>
    <row r="520" ht="15.75" customHeight="1" spans="1:5">
      <c r="A520" s="9"/>
      <c r="B520" s="9"/>
      <c r="C520" s="9"/>
      <c r="D520" s="9"/>
      <c r="E520" s="9"/>
    </row>
    <row r="521" ht="15.75" customHeight="1" spans="1:5">
      <c r="A521" s="9"/>
      <c r="B521" s="9"/>
      <c r="C521" s="9"/>
      <c r="D521" s="9"/>
      <c r="E521" s="9"/>
    </row>
    <row r="522" ht="15.75" customHeight="1" spans="1:5">
      <c r="A522" s="9"/>
      <c r="B522" s="9"/>
      <c r="C522" s="9"/>
      <c r="D522" s="9"/>
      <c r="E522" s="9"/>
    </row>
    <row r="523" ht="15.75" customHeight="1" spans="1:5">
      <c r="A523" s="9"/>
      <c r="B523" s="9"/>
      <c r="C523" s="9"/>
      <c r="D523" s="9"/>
      <c r="E523" s="9"/>
    </row>
    <row r="524" ht="15.75" customHeight="1" spans="1:5">
      <c r="A524" s="9"/>
      <c r="B524" s="9"/>
      <c r="C524" s="9"/>
      <c r="D524" s="9"/>
      <c r="E524" s="9"/>
    </row>
    <row r="525" ht="15.75" customHeight="1" spans="1:5">
      <c r="A525" s="9"/>
      <c r="B525" s="9"/>
      <c r="C525" s="9"/>
      <c r="D525" s="9"/>
      <c r="E525" s="9"/>
    </row>
    <row r="526" ht="15.75" customHeight="1" spans="1:5">
      <c r="A526" s="9"/>
      <c r="B526" s="9"/>
      <c r="C526" s="9"/>
      <c r="D526" s="9"/>
      <c r="E526" s="9"/>
    </row>
    <row r="527" ht="15.75" customHeight="1" spans="1:5">
      <c r="A527" s="9"/>
      <c r="B527" s="9"/>
      <c r="C527" s="9"/>
      <c r="D527" s="9"/>
      <c r="E527" s="9"/>
    </row>
    <row r="528" ht="15.75" customHeight="1" spans="1:5">
      <c r="A528" s="9"/>
      <c r="B528" s="9"/>
      <c r="C528" s="9"/>
      <c r="D528" s="9"/>
      <c r="E528" s="9"/>
    </row>
    <row r="529" ht="15.75" customHeight="1" spans="1:5">
      <c r="A529" s="9"/>
      <c r="B529" s="9"/>
      <c r="C529" s="9"/>
      <c r="D529" s="9"/>
      <c r="E529" s="9"/>
    </row>
    <row r="530" ht="15.75" customHeight="1" spans="1:5">
      <c r="A530" s="9"/>
      <c r="B530" s="9"/>
      <c r="C530" s="9"/>
      <c r="D530" s="9"/>
      <c r="E530" s="9"/>
    </row>
    <row r="531" ht="15.75" customHeight="1" spans="1:5">
      <c r="A531" s="9"/>
      <c r="B531" s="9"/>
      <c r="C531" s="9"/>
      <c r="D531" s="9"/>
      <c r="E531" s="9"/>
    </row>
    <row r="532" ht="15.75" customHeight="1" spans="1:5">
      <c r="A532" s="9"/>
      <c r="B532" s="9"/>
      <c r="C532" s="9"/>
      <c r="D532" s="9"/>
      <c r="E532" s="9"/>
    </row>
    <row r="533" ht="15.75" customHeight="1" spans="1:5">
      <c r="A533" s="9"/>
      <c r="B533" s="9"/>
      <c r="C533" s="9"/>
      <c r="D533" s="9"/>
      <c r="E533" s="9"/>
    </row>
    <row r="534" ht="15.75" customHeight="1" spans="1:5">
      <c r="A534" s="9"/>
      <c r="B534" s="9"/>
      <c r="C534" s="9"/>
      <c r="D534" s="9"/>
      <c r="E534" s="9"/>
    </row>
    <row r="535" ht="15.75" customHeight="1" spans="1:5">
      <c r="A535" s="9"/>
      <c r="B535" s="9"/>
      <c r="C535" s="9"/>
      <c r="D535" s="9"/>
      <c r="E535" s="9"/>
    </row>
    <row r="536" ht="15.75" customHeight="1" spans="1:5">
      <c r="A536" s="9"/>
      <c r="B536" s="9"/>
      <c r="C536" s="9"/>
      <c r="D536" s="9"/>
      <c r="E536" s="9"/>
    </row>
    <row r="537" ht="15.75" customHeight="1" spans="1:5">
      <c r="A537" s="9"/>
      <c r="B537" s="9"/>
      <c r="C537" s="9"/>
      <c r="D537" s="9"/>
      <c r="E537" s="9"/>
    </row>
    <row r="538" ht="15.75" customHeight="1" spans="1:5">
      <c r="A538" s="9"/>
      <c r="B538" s="9"/>
      <c r="C538" s="9"/>
      <c r="D538" s="9"/>
      <c r="E538" s="9"/>
    </row>
    <row r="539" ht="15.75" customHeight="1" spans="1:5">
      <c r="A539" s="9"/>
      <c r="B539" s="9"/>
      <c r="C539" s="9"/>
      <c r="D539" s="9"/>
      <c r="E539" s="9"/>
    </row>
    <row r="540" ht="15.75" customHeight="1" spans="1:5">
      <c r="A540" s="9"/>
      <c r="B540" s="9"/>
      <c r="C540" s="9"/>
      <c r="D540" s="9"/>
      <c r="E540" s="9"/>
    </row>
    <row r="541" ht="15.75" customHeight="1" spans="1:5">
      <c r="A541" s="9"/>
      <c r="B541" s="9"/>
      <c r="C541" s="9"/>
      <c r="D541" s="9"/>
      <c r="E541" s="9"/>
    </row>
    <row r="542" ht="15.75" customHeight="1" spans="1:5">
      <c r="A542" s="9"/>
      <c r="B542" s="9"/>
      <c r="C542" s="9"/>
      <c r="D542" s="9"/>
      <c r="E542" s="9"/>
    </row>
    <row r="543" ht="15.75" customHeight="1" spans="1:5">
      <c r="A543" s="9"/>
      <c r="B543" s="9"/>
      <c r="C543" s="9"/>
      <c r="D543" s="9"/>
      <c r="E543" s="9"/>
    </row>
    <row r="544" ht="15.75" customHeight="1" spans="1:5">
      <c r="A544" s="9"/>
      <c r="B544" s="9"/>
      <c r="C544" s="9"/>
      <c r="D544" s="9"/>
      <c r="E544" s="9"/>
    </row>
    <row r="545" ht="15.75" customHeight="1" spans="1:5">
      <c r="A545" s="9"/>
      <c r="B545" s="9"/>
      <c r="C545" s="9"/>
      <c r="D545" s="9"/>
      <c r="E545" s="9"/>
    </row>
    <row r="546" ht="15.75" customHeight="1" spans="1:5">
      <c r="A546" s="9"/>
      <c r="B546" s="9"/>
      <c r="C546" s="9"/>
      <c r="D546" s="9"/>
      <c r="E546" s="9"/>
    </row>
    <row r="547" ht="15.75" customHeight="1" spans="1:5">
      <c r="A547" s="9"/>
      <c r="B547" s="9"/>
      <c r="C547" s="9"/>
      <c r="D547" s="9"/>
      <c r="E547" s="9"/>
    </row>
    <row r="548" ht="15.75" customHeight="1" spans="1:5">
      <c r="A548" s="9"/>
      <c r="B548" s="9"/>
      <c r="C548" s="9"/>
      <c r="D548" s="9"/>
      <c r="E548" s="9"/>
    </row>
    <row r="549" ht="15.75" customHeight="1" spans="1:5">
      <c r="A549" s="9"/>
      <c r="B549" s="9"/>
      <c r="C549" s="9"/>
      <c r="D549" s="9"/>
      <c r="E549" s="9"/>
    </row>
    <row r="550" ht="15.75" customHeight="1" spans="1:5">
      <c r="A550" s="9"/>
      <c r="B550" s="9"/>
      <c r="C550" s="9"/>
      <c r="D550" s="9"/>
      <c r="E550" s="9"/>
    </row>
    <row r="551" ht="15.75" customHeight="1" spans="1:5">
      <c r="A551" s="9"/>
      <c r="B551" s="9"/>
      <c r="C551" s="9"/>
      <c r="D551" s="9"/>
      <c r="E551" s="9"/>
    </row>
    <row r="552" ht="15.75" customHeight="1" spans="1:5">
      <c r="A552" s="9"/>
      <c r="B552" s="9"/>
      <c r="C552" s="9"/>
      <c r="D552" s="9"/>
      <c r="E552" s="9"/>
    </row>
    <row r="553" ht="15.75" customHeight="1" spans="1:5">
      <c r="A553" s="9"/>
      <c r="B553" s="9"/>
      <c r="C553" s="9"/>
      <c r="D553" s="9"/>
      <c r="E553" s="9"/>
    </row>
    <row r="554" ht="15.75" customHeight="1" spans="1:5">
      <c r="A554" s="9"/>
      <c r="B554" s="9"/>
      <c r="C554" s="9"/>
      <c r="D554" s="9"/>
      <c r="E554" s="9"/>
    </row>
    <row r="555" ht="15.75" customHeight="1" spans="1:5">
      <c r="A555" s="9"/>
      <c r="B555" s="9"/>
      <c r="C555" s="9"/>
      <c r="D555" s="9"/>
      <c r="E555" s="9"/>
    </row>
    <row r="556" ht="15.75" customHeight="1" spans="1:5">
      <c r="A556" s="9"/>
      <c r="B556" s="9"/>
      <c r="C556" s="9"/>
      <c r="D556" s="9"/>
      <c r="E556" s="9"/>
    </row>
    <row r="557" ht="15.75" customHeight="1" spans="1:5">
      <c r="A557" s="9"/>
      <c r="B557" s="9"/>
      <c r="C557" s="9"/>
      <c r="D557" s="9"/>
      <c r="E557" s="9"/>
    </row>
    <row r="558" ht="15.75" customHeight="1" spans="1:5">
      <c r="A558" s="9"/>
      <c r="B558" s="9"/>
      <c r="C558" s="9"/>
      <c r="D558" s="9"/>
      <c r="E558" s="9"/>
    </row>
    <row r="559" ht="15.75" customHeight="1" spans="1:5">
      <c r="A559" s="9"/>
      <c r="B559" s="9"/>
      <c r="C559" s="9"/>
      <c r="D559" s="9"/>
      <c r="E559" s="9"/>
    </row>
    <row r="560" ht="15.75" customHeight="1" spans="1:5">
      <c r="A560" s="9"/>
      <c r="B560" s="9"/>
      <c r="C560" s="9"/>
      <c r="D560" s="9"/>
      <c r="E560" s="9"/>
    </row>
    <row r="561" ht="15.75" customHeight="1" spans="1:5">
      <c r="A561" s="9"/>
      <c r="B561" s="9"/>
      <c r="C561" s="9"/>
      <c r="D561" s="9"/>
      <c r="E561" s="9"/>
    </row>
    <row r="562" ht="15.75" customHeight="1" spans="1:5">
      <c r="A562" s="9"/>
      <c r="B562" s="9"/>
      <c r="C562" s="9"/>
      <c r="D562" s="9"/>
      <c r="E562" s="9"/>
    </row>
    <row r="563" ht="15.75" customHeight="1" spans="1:5">
      <c r="A563" s="9"/>
      <c r="B563" s="9"/>
      <c r="C563" s="9"/>
      <c r="D563" s="9"/>
      <c r="E563" s="9"/>
    </row>
    <row r="564" ht="15.75" customHeight="1" spans="1:5">
      <c r="A564" s="9"/>
      <c r="B564" s="9"/>
      <c r="C564" s="9"/>
      <c r="D564" s="9"/>
      <c r="E564" s="9"/>
    </row>
    <row r="565" ht="15.75" customHeight="1" spans="1:5">
      <c r="A565" s="9"/>
      <c r="B565" s="9"/>
      <c r="C565" s="9"/>
      <c r="D565" s="9"/>
      <c r="E565" s="9"/>
    </row>
    <row r="566" ht="15.75" customHeight="1" spans="1:5">
      <c r="A566" s="9"/>
      <c r="B566" s="9"/>
      <c r="C566" s="9"/>
      <c r="D566" s="9"/>
      <c r="E566" s="9"/>
    </row>
    <row r="567" ht="15.75" customHeight="1" spans="1:5">
      <c r="A567" s="9"/>
      <c r="B567" s="9"/>
      <c r="C567" s="9"/>
      <c r="D567" s="9"/>
      <c r="E567" s="9"/>
    </row>
    <row r="568" ht="15.75" customHeight="1" spans="1:5">
      <c r="A568" s="9"/>
      <c r="B568" s="9"/>
      <c r="C568" s="9"/>
      <c r="D568" s="9"/>
      <c r="E568" s="9"/>
    </row>
    <row r="569" ht="15.75" customHeight="1" spans="1:5">
      <c r="A569" s="9"/>
      <c r="B569" s="9"/>
      <c r="C569" s="9"/>
      <c r="D569" s="9"/>
      <c r="E569" s="9"/>
    </row>
    <row r="570" ht="15.75" customHeight="1" spans="1:5">
      <c r="A570" s="9"/>
      <c r="B570" s="9"/>
      <c r="C570" s="9"/>
      <c r="D570" s="9"/>
      <c r="E570" s="9"/>
    </row>
    <row r="571" ht="15.75" customHeight="1" spans="1:5">
      <c r="A571" s="9"/>
      <c r="B571" s="9"/>
      <c r="C571" s="9"/>
      <c r="D571" s="9"/>
      <c r="E571" s="9"/>
    </row>
    <row r="572" ht="15.75" customHeight="1" spans="1:5">
      <c r="A572" s="9"/>
      <c r="B572" s="9"/>
      <c r="C572" s="9"/>
      <c r="D572" s="9"/>
      <c r="E572" s="9"/>
    </row>
    <row r="573" ht="15.75" customHeight="1" spans="1:5">
      <c r="A573" s="9"/>
      <c r="B573" s="9"/>
      <c r="C573" s="9"/>
      <c r="D573" s="9"/>
      <c r="E573" s="9"/>
    </row>
    <row r="574" ht="15.75" customHeight="1" spans="1:5">
      <c r="A574" s="9"/>
      <c r="B574" s="9"/>
      <c r="C574" s="9"/>
      <c r="D574" s="9"/>
      <c r="E574" s="9"/>
    </row>
    <row r="575" ht="15.75" customHeight="1" spans="1:5">
      <c r="A575" s="9"/>
      <c r="B575" s="9"/>
      <c r="C575" s="9"/>
      <c r="D575" s="9"/>
      <c r="E575" s="9"/>
    </row>
    <row r="576" ht="15.75" customHeight="1" spans="1:5">
      <c r="A576" s="9"/>
      <c r="B576" s="9"/>
      <c r="C576" s="9"/>
      <c r="D576" s="9"/>
      <c r="E576" s="9"/>
    </row>
    <row r="577" ht="15.75" customHeight="1" spans="1:5">
      <c r="A577" s="9"/>
      <c r="B577" s="9"/>
      <c r="C577" s="9"/>
      <c r="D577" s="9"/>
      <c r="E577" s="9"/>
    </row>
    <row r="578" ht="15.75" customHeight="1" spans="1:5">
      <c r="A578" s="9"/>
      <c r="B578" s="9"/>
      <c r="C578" s="9"/>
      <c r="D578" s="9"/>
      <c r="E578" s="9"/>
    </row>
    <row r="579" ht="15.75" customHeight="1" spans="1:5">
      <c r="A579" s="9"/>
      <c r="B579" s="9"/>
      <c r="C579" s="9"/>
      <c r="D579" s="9"/>
      <c r="E579" s="9"/>
    </row>
    <row r="580" ht="15.75" customHeight="1" spans="1:5">
      <c r="A580" s="9"/>
      <c r="B580" s="9"/>
      <c r="C580" s="9"/>
      <c r="D580" s="9"/>
      <c r="E580" s="9"/>
    </row>
    <row r="581" ht="15.75" customHeight="1" spans="1:5">
      <c r="A581" s="9"/>
      <c r="B581" s="9"/>
      <c r="C581" s="9"/>
      <c r="D581" s="9"/>
      <c r="E581" s="9"/>
    </row>
    <row r="582" ht="15.75" customHeight="1" spans="1:5">
      <c r="A582" s="9"/>
      <c r="B582" s="9"/>
      <c r="C582" s="9"/>
      <c r="D582" s="9"/>
      <c r="E582" s="9"/>
    </row>
    <row r="583" ht="15.75" customHeight="1" spans="1:5">
      <c r="A583" s="9"/>
      <c r="B583" s="9"/>
      <c r="C583" s="9"/>
      <c r="D583" s="9"/>
      <c r="E583" s="9"/>
    </row>
    <row r="584" ht="15.75" customHeight="1" spans="1:5">
      <c r="A584" s="9"/>
      <c r="B584" s="9"/>
      <c r="C584" s="9"/>
      <c r="D584" s="9"/>
      <c r="E584" s="9"/>
    </row>
    <row r="585" ht="15.75" customHeight="1" spans="1:5">
      <c r="A585" s="9"/>
      <c r="B585" s="9"/>
      <c r="C585" s="9"/>
      <c r="D585" s="9"/>
      <c r="E585" s="9"/>
    </row>
    <row r="586" ht="15.75" customHeight="1" spans="1:5">
      <c r="A586" s="9"/>
      <c r="B586" s="9"/>
      <c r="C586" s="9"/>
      <c r="D586" s="9"/>
      <c r="E586" s="9"/>
    </row>
    <row r="587" ht="15.75" customHeight="1" spans="1:5">
      <c r="A587" s="9"/>
      <c r="B587" s="9"/>
      <c r="C587" s="9"/>
      <c r="D587" s="9"/>
      <c r="E587" s="9"/>
    </row>
    <row r="588" ht="15.75" customHeight="1" spans="1:5">
      <c r="A588" s="9"/>
      <c r="B588" s="9"/>
      <c r="C588" s="9"/>
      <c r="D588" s="9"/>
      <c r="E588" s="9"/>
    </row>
    <row r="589" ht="15.75" customHeight="1" spans="1:5">
      <c r="A589" s="9"/>
      <c r="B589" s="9"/>
      <c r="C589" s="9"/>
      <c r="D589" s="9"/>
      <c r="E589" s="9"/>
    </row>
    <row r="590" ht="15.75" customHeight="1" spans="1:5">
      <c r="A590" s="9"/>
      <c r="B590" s="9"/>
      <c r="C590" s="9"/>
      <c r="D590" s="9"/>
      <c r="E590" s="9"/>
    </row>
    <row r="591" ht="15.75" customHeight="1" spans="1:5">
      <c r="A591" s="9"/>
      <c r="B591" s="9"/>
      <c r="C591" s="9"/>
      <c r="D591" s="9"/>
      <c r="E591" s="9"/>
    </row>
    <row r="592" ht="15.75" customHeight="1" spans="1:5">
      <c r="A592" s="9"/>
      <c r="B592" s="9"/>
      <c r="C592" s="9"/>
      <c r="D592" s="9"/>
      <c r="E592" s="9"/>
    </row>
    <row r="593" ht="15.75" customHeight="1" spans="1:5">
      <c r="A593" s="9"/>
      <c r="B593" s="9"/>
      <c r="C593" s="9"/>
      <c r="D593" s="9"/>
      <c r="E593" s="9"/>
    </row>
    <row r="594" ht="15.75" customHeight="1" spans="1:5">
      <c r="A594" s="9"/>
      <c r="B594" s="9"/>
      <c r="C594" s="9"/>
      <c r="D594" s="9"/>
      <c r="E594" s="9"/>
    </row>
    <row r="595" ht="15.75" customHeight="1" spans="1:5">
      <c r="A595" s="9"/>
      <c r="B595" s="9"/>
      <c r="C595" s="9"/>
      <c r="D595" s="9"/>
      <c r="E595" s="9"/>
    </row>
    <row r="596" ht="15.75" customHeight="1" spans="1:5">
      <c r="A596" s="9"/>
      <c r="B596" s="9"/>
      <c r="C596" s="9"/>
      <c r="D596" s="9"/>
      <c r="E596" s="9"/>
    </row>
    <row r="597" ht="15.75" customHeight="1" spans="1:5">
      <c r="A597" s="9"/>
      <c r="B597" s="9"/>
      <c r="C597" s="9"/>
      <c r="D597" s="9"/>
      <c r="E597" s="9"/>
    </row>
    <row r="598" ht="15.75" customHeight="1" spans="1:5">
      <c r="A598" s="9"/>
      <c r="B598" s="9"/>
      <c r="C598" s="9"/>
      <c r="D598" s="9"/>
      <c r="E598" s="9"/>
    </row>
    <row r="599" ht="15.75" customHeight="1" spans="1:5">
      <c r="A599" s="9"/>
      <c r="B599" s="9"/>
      <c r="C599" s="9"/>
      <c r="D599" s="9"/>
      <c r="E599" s="9"/>
    </row>
    <row r="600" ht="15.75" customHeight="1" spans="1:5">
      <c r="A600" s="9"/>
      <c r="B600" s="9"/>
      <c r="C600" s="9"/>
      <c r="D600" s="9"/>
      <c r="E600" s="9"/>
    </row>
    <row r="601" ht="15.75" customHeight="1" spans="1:5">
      <c r="A601" s="9"/>
      <c r="B601" s="9"/>
      <c r="C601" s="9"/>
      <c r="D601" s="9"/>
      <c r="E601" s="9"/>
    </row>
    <row r="602" ht="15.75" customHeight="1" spans="1:5">
      <c r="A602" s="9"/>
      <c r="B602" s="9"/>
      <c r="C602" s="9"/>
      <c r="D602" s="9"/>
      <c r="E602" s="9"/>
    </row>
    <row r="603" ht="15.75" customHeight="1" spans="1:5">
      <c r="A603" s="9"/>
      <c r="B603" s="9"/>
      <c r="C603" s="9"/>
      <c r="D603" s="9"/>
      <c r="E603" s="9"/>
    </row>
    <row r="604" ht="15.75" customHeight="1" spans="1:5">
      <c r="A604" s="9"/>
      <c r="B604" s="9"/>
      <c r="C604" s="9"/>
      <c r="D604" s="9"/>
      <c r="E604" s="9"/>
    </row>
    <row r="605" ht="15.75" customHeight="1" spans="1:5">
      <c r="A605" s="9"/>
      <c r="B605" s="9"/>
      <c r="C605" s="9"/>
      <c r="D605" s="9"/>
      <c r="E605" s="9"/>
    </row>
    <row r="606" ht="15.75" customHeight="1" spans="1:5">
      <c r="A606" s="9"/>
      <c r="B606" s="9"/>
      <c r="C606" s="9"/>
      <c r="D606" s="9"/>
      <c r="E606" s="9"/>
    </row>
    <row r="607" ht="15.75" customHeight="1" spans="1:5">
      <c r="A607" s="9"/>
      <c r="B607" s="9"/>
      <c r="C607" s="9"/>
      <c r="D607" s="9"/>
      <c r="E607" s="9"/>
    </row>
    <row r="608" ht="15.75" customHeight="1" spans="1:5">
      <c r="A608" s="9"/>
      <c r="B608" s="9"/>
      <c r="C608" s="9"/>
      <c r="D608" s="9"/>
      <c r="E608" s="9"/>
    </row>
    <row r="609" ht="15.75" customHeight="1" spans="1:5">
      <c r="A609" s="9"/>
      <c r="B609" s="9"/>
      <c r="C609" s="9"/>
      <c r="D609" s="9"/>
      <c r="E609" s="9"/>
    </row>
    <row r="610" ht="15.75" customHeight="1" spans="1:5">
      <c r="A610" s="9"/>
      <c r="B610" s="9"/>
      <c r="C610" s="9"/>
      <c r="D610" s="9"/>
      <c r="E610" s="9"/>
    </row>
    <row r="611" ht="15.75" customHeight="1" spans="1:5">
      <c r="A611" s="9"/>
      <c r="B611" s="9"/>
      <c r="C611" s="9"/>
      <c r="D611" s="9"/>
      <c r="E611" s="9"/>
    </row>
    <row r="612" ht="15.75" customHeight="1" spans="1:5">
      <c r="A612" s="9"/>
      <c r="B612" s="9"/>
      <c r="C612" s="9"/>
      <c r="D612" s="9"/>
      <c r="E612" s="9"/>
    </row>
    <row r="613" ht="15.75" customHeight="1" spans="1:5">
      <c r="A613" s="9"/>
      <c r="B613" s="9"/>
      <c r="C613" s="9"/>
      <c r="D613" s="9"/>
      <c r="E613" s="9"/>
    </row>
    <row r="614" ht="15.75" customHeight="1" spans="1:5">
      <c r="A614" s="9"/>
      <c r="B614" s="9"/>
      <c r="C614" s="9"/>
      <c r="D614" s="9"/>
      <c r="E614" s="9"/>
    </row>
    <row r="615" ht="15.75" customHeight="1" spans="1:5">
      <c r="A615" s="9"/>
      <c r="B615" s="9"/>
      <c r="C615" s="9"/>
      <c r="D615" s="9"/>
      <c r="E615" s="9"/>
    </row>
    <row r="616" ht="15.75" customHeight="1" spans="1:5">
      <c r="A616" s="9"/>
      <c r="B616" s="9"/>
      <c r="C616" s="9"/>
      <c r="D616" s="9"/>
      <c r="E616" s="9"/>
    </row>
    <row r="617" ht="15.75" customHeight="1" spans="1:5">
      <c r="A617" s="9"/>
      <c r="B617" s="9"/>
      <c r="C617" s="9"/>
      <c r="D617" s="9"/>
      <c r="E617" s="9"/>
    </row>
    <row r="618" ht="15.75" customHeight="1" spans="1:5">
      <c r="A618" s="9"/>
      <c r="B618" s="9"/>
      <c r="C618" s="9"/>
      <c r="D618" s="9"/>
      <c r="E618" s="9"/>
    </row>
    <row r="619" ht="15.75" customHeight="1" spans="1:5">
      <c r="A619" s="9"/>
      <c r="B619" s="9"/>
      <c r="C619" s="9"/>
      <c r="D619" s="9"/>
      <c r="E619" s="9"/>
    </row>
    <row r="620" ht="15.75" customHeight="1" spans="1:5">
      <c r="A620" s="9"/>
      <c r="B620" s="9"/>
      <c r="C620" s="9"/>
      <c r="D620" s="9"/>
      <c r="E620" s="9"/>
    </row>
    <row r="621" ht="15.75" customHeight="1" spans="1:5">
      <c r="A621" s="9"/>
      <c r="B621" s="9"/>
      <c r="C621" s="9"/>
      <c r="D621" s="9"/>
      <c r="E621" s="9"/>
    </row>
    <row r="622" ht="15.75" customHeight="1" spans="1:5">
      <c r="A622" s="9"/>
      <c r="B622" s="9"/>
      <c r="C622" s="9"/>
      <c r="D622" s="9"/>
      <c r="E622" s="9"/>
    </row>
    <row r="623" ht="15.75" customHeight="1" spans="1:5">
      <c r="A623" s="9"/>
      <c r="B623" s="9"/>
      <c r="C623" s="9"/>
      <c r="D623" s="9"/>
      <c r="E623" s="9"/>
    </row>
    <row r="624" ht="15.75" customHeight="1" spans="1:5">
      <c r="A624" s="9"/>
      <c r="B624" s="9"/>
      <c r="C624" s="9"/>
      <c r="D624" s="9"/>
      <c r="E624" s="9"/>
    </row>
    <row r="625" ht="15.75" customHeight="1" spans="1:5">
      <c r="A625" s="9"/>
      <c r="B625" s="9"/>
      <c r="C625" s="9"/>
      <c r="D625" s="9"/>
      <c r="E625" s="9"/>
    </row>
    <row r="626" ht="15.75" customHeight="1" spans="1:5">
      <c r="A626" s="9"/>
      <c r="B626" s="9"/>
      <c r="C626" s="9"/>
      <c r="D626" s="9"/>
      <c r="E626" s="9"/>
    </row>
    <row r="627" ht="15.75" customHeight="1" spans="1:5">
      <c r="A627" s="9"/>
      <c r="B627" s="9"/>
      <c r="C627" s="9"/>
      <c r="D627" s="9"/>
      <c r="E627" s="9"/>
    </row>
    <row r="628" ht="15.75" customHeight="1" spans="1:5">
      <c r="A628" s="9"/>
      <c r="B628" s="9"/>
      <c r="C628" s="9"/>
      <c r="D628" s="9"/>
      <c r="E628" s="9"/>
    </row>
    <row r="629" ht="15.75" customHeight="1" spans="1:5">
      <c r="A629" s="9"/>
      <c r="B629" s="9"/>
      <c r="C629" s="9"/>
      <c r="D629" s="9"/>
      <c r="E629" s="9"/>
    </row>
    <row r="630" ht="15.75" customHeight="1" spans="1:5">
      <c r="A630" s="9"/>
      <c r="B630" s="9"/>
      <c r="C630" s="9"/>
      <c r="D630" s="9"/>
      <c r="E630" s="9"/>
    </row>
    <row r="631" ht="15.75" customHeight="1" spans="1:5">
      <c r="A631" s="9"/>
      <c r="B631" s="9"/>
      <c r="C631" s="9"/>
      <c r="D631" s="9"/>
      <c r="E631" s="9"/>
    </row>
    <row r="632" ht="15.75" customHeight="1" spans="1:5">
      <c r="A632" s="9"/>
      <c r="B632" s="9"/>
      <c r="C632" s="9"/>
      <c r="D632" s="9"/>
      <c r="E632" s="9"/>
    </row>
    <row r="633" ht="15.75" customHeight="1" spans="1:5">
      <c r="A633" s="9"/>
      <c r="B633" s="9"/>
      <c r="C633" s="9"/>
      <c r="D633" s="9"/>
      <c r="E633" s="9"/>
    </row>
    <row r="634" ht="15.75" customHeight="1" spans="1:5">
      <c r="A634" s="9"/>
      <c r="B634" s="9"/>
      <c r="C634" s="9"/>
      <c r="D634" s="9"/>
      <c r="E634" s="9"/>
    </row>
    <row r="635" ht="15.75" customHeight="1" spans="1:5">
      <c r="A635" s="9"/>
      <c r="B635" s="9"/>
      <c r="C635" s="9"/>
      <c r="D635" s="9"/>
      <c r="E635" s="9"/>
    </row>
    <row r="636" ht="15.75" customHeight="1" spans="1:5">
      <c r="A636" s="9"/>
      <c r="B636" s="9"/>
      <c r="C636" s="9"/>
      <c r="D636" s="9"/>
      <c r="E636" s="9"/>
    </row>
    <row r="637" ht="15.75" customHeight="1" spans="1:5">
      <c r="A637" s="9"/>
      <c r="B637" s="9"/>
      <c r="C637" s="9"/>
      <c r="D637" s="9"/>
      <c r="E637" s="9"/>
    </row>
    <row r="638" ht="15.75" customHeight="1" spans="1:5">
      <c r="A638" s="9"/>
      <c r="B638" s="9"/>
      <c r="C638" s="9"/>
      <c r="D638" s="9"/>
      <c r="E638" s="9"/>
    </row>
    <row r="639" ht="15.75" customHeight="1" spans="1:5">
      <c r="A639" s="9"/>
      <c r="B639" s="9"/>
      <c r="C639" s="9"/>
      <c r="D639" s="9"/>
      <c r="E639" s="9"/>
    </row>
    <row r="640" ht="15.75" customHeight="1" spans="1:5">
      <c r="A640" s="9"/>
      <c r="B640" s="9"/>
      <c r="C640" s="9"/>
      <c r="D640" s="9"/>
      <c r="E640" s="9"/>
    </row>
    <row r="641" ht="15.75" customHeight="1" spans="1:5">
      <c r="A641" s="9"/>
      <c r="B641" s="9"/>
      <c r="C641" s="9"/>
      <c r="D641" s="9"/>
      <c r="E641" s="9"/>
    </row>
    <row r="642" ht="15.75" customHeight="1" spans="1:5">
      <c r="A642" s="9"/>
      <c r="B642" s="9"/>
      <c r="C642" s="9"/>
      <c r="D642" s="9"/>
      <c r="E642" s="9"/>
    </row>
    <row r="643" ht="15.75" customHeight="1" spans="1:5">
      <c r="A643" s="9"/>
      <c r="B643" s="9"/>
      <c r="C643" s="9"/>
      <c r="D643" s="9"/>
      <c r="E643" s="9"/>
    </row>
    <row r="644" ht="15.75" customHeight="1" spans="1:5">
      <c r="A644" s="9"/>
      <c r="B644" s="9"/>
      <c r="C644" s="9"/>
      <c r="D644" s="9"/>
      <c r="E644" s="9"/>
    </row>
    <row r="645" ht="15.75" customHeight="1" spans="1:5">
      <c r="A645" s="9"/>
      <c r="B645" s="9"/>
      <c r="C645" s="9"/>
      <c r="D645" s="9"/>
      <c r="E645" s="9"/>
    </row>
    <row r="646" ht="15.75" customHeight="1" spans="1:5">
      <c r="A646" s="9"/>
      <c r="B646" s="9"/>
      <c r="C646" s="9"/>
      <c r="D646" s="9"/>
      <c r="E646" s="9"/>
    </row>
    <row r="647" ht="15.75" customHeight="1" spans="1:5">
      <c r="A647" s="9"/>
      <c r="B647" s="9"/>
      <c r="C647" s="9"/>
      <c r="D647" s="9"/>
      <c r="E647" s="9"/>
    </row>
    <row r="648" ht="15.75" customHeight="1" spans="1:5">
      <c r="A648" s="9"/>
      <c r="B648" s="9"/>
      <c r="C648" s="9"/>
      <c r="D648" s="9"/>
      <c r="E648" s="9"/>
    </row>
    <row r="649" ht="15.75" customHeight="1" spans="1:5">
      <c r="A649" s="9"/>
      <c r="B649" s="9"/>
      <c r="C649" s="9"/>
      <c r="D649" s="9"/>
      <c r="E649" s="9"/>
    </row>
    <row r="650" ht="15.75" customHeight="1" spans="1:5">
      <c r="A650" s="9"/>
      <c r="B650" s="9"/>
      <c r="C650" s="9"/>
      <c r="D650" s="9"/>
      <c r="E650" s="9"/>
    </row>
    <row r="651" ht="15.75" customHeight="1" spans="1:5">
      <c r="A651" s="9"/>
      <c r="B651" s="9"/>
      <c r="C651" s="9"/>
      <c r="D651" s="9"/>
      <c r="E651" s="9"/>
    </row>
    <row r="652" ht="15.75" customHeight="1" spans="1:5">
      <c r="A652" s="9"/>
      <c r="B652" s="9"/>
      <c r="C652" s="9"/>
      <c r="D652" s="9"/>
      <c r="E652" s="9"/>
    </row>
    <row r="653" ht="15.75" customHeight="1" spans="1:5">
      <c r="A653" s="9"/>
      <c r="B653" s="9"/>
      <c r="C653" s="9"/>
      <c r="D653" s="9"/>
      <c r="E653" s="9"/>
    </row>
    <row r="654" ht="15.75" customHeight="1" spans="1:5">
      <c r="A654" s="9"/>
      <c r="B654" s="9"/>
      <c r="C654" s="9"/>
      <c r="D654" s="9"/>
      <c r="E654" s="9"/>
    </row>
    <row r="655" ht="15.75" customHeight="1" spans="1:5">
      <c r="A655" s="9"/>
      <c r="B655" s="9"/>
      <c r="C655" s="9"/>
      <c r="D655" s="9"/>
      <c r="E655" s="9"/>
    </row>
    <row r="656" ht="15.75" customHeight="1" spans="1:5">
      <c r="A656" s="9"/>
      <c r="B656" s="9"/>
      <c r="C656" s="9"/>
      <c r="D656" s="9"/>
      <c r="E656" s="9"/>
    </row>
    <row r="657" ht="15.75" customHeight="1" spans="1:5">
      <c r="A657" s="9"/>
      <c r="B657" s="9"/>
      <c r="C657" s="9"/>
      <c r="D657" s="9"/>
      <c r="E657" s="9"/>
    </row>
    <row r="658" ht="15.75" customHeight="1" spans="1:5">
      <c r="A658" s="9"/>
      <c r="B658" s="9"/>
      <c r="C658" s="9"/>
      <c r="D658" s="9"/>
      <c r="E658" s="9"/>
    </row>
    <row r="659" ht="15.75" customHeight="1" spans="1:5">
      <c r="A659" s="9"/>
      <c r="B659" s="9"/>
      <c r="C659" s="9"/>
      <c r="D659" s="9"/>
      <c r="E659" s="9"/>
    </row>
    <row r="660" ht="15.75" customHeight="1" spans="1:5">
      <c r="A660" s="9"/>
      <c r="B660" s="9"/>
      <c r="C660" s="9"/>
      <c r="D660" s="9"/>
      <c r="E660" s="9"/>
    </row>
    <row r="661" ht="15.75" customHeight="1" spans="1:5">
      <c r="A661" s="9"/>
      <c r="B661" s="9"/>
      <c r="C661" s="9"/>
      <c r="D661" s="9"/>
      <c r="E661" s="9"/>
    </row>
    <row r="662" ht="15.75" customHeight="1" spans="1:5">
      <c r="A662" s="9"/>
      <c r="B662" s="9"/>
      <c r="C662" s="9"/>
      <c r="D662" s="9"/>
      <c r="E662" s="9"/>
    </row>
    <row r="663" ht="15.75" customHeight="1" spans="1:5">
      <c r="A663" s="9"/>
      <c r="B663" s="9"/>
      <c r="C663" s="9"/>
      <c r="D663" s="9"/>
      <c r="E663" s="9"/>
    </row>
    <row r="664" ht="15.75" customHeight="1" spans="1:5">
      <c r="A664" s="9"/>
      <c r="B664" s="9"/>
      <c r="C664" s="9"/>
      <c r="D664" s="9"/>
      <c r="E664" s="9"/>
    </row>
    <row r="665" ht="15.75" customHeight="1" spans="1:5">
      <c r="A665" s="9"/>
      <c r="B665" s="9"/>
      <c r="C665" s="9"/>
      <c r="D665" s="9"/>
      <c r="E665" s="9"/>
    </row>
    <row r="666" ht="15.75" customHeight="1" spans="1:5">
      <c r="A666" s="9"/>
      <c r="B666" s="9"/>
      <c r="C666" s="9"/>
      <c r="D666" s="9"/>
      <c r="E666" s="9"/>
    </row>
    <row r="667" ht="15.75" customHeight="1" spans="1:5">
      <c r="A667" s="9"/>
      <c r="B667" s="9"/>
      <c r="C667" s="9"/>
      <c r="D667" s="9"/>
      <c r="E667" s="9"/>
    </row>
    <row r="668" ht="15.75" customHeight="1" spans="1:5">
      <c r="A668" s="9"/>
      <c r="B668" s="9"/>
      <c r="C668" s="9"/>
      <c r="D668" s="9"/>
      <c r="E668" s="9"/>
    </row>
    <row r="669" ht="15.75" customHeight="1" spans="1:5">
      <c r="A669" s="9"/>
      <c r="B669" s="9"/>
      <c r="C669" s="9"/>
      <c r="D669" s="9"/>
      <c r="E669" s="9"/>
    </row>
    <row r="670" ht="15.75" customHeight="1" spans="1:5">
      <c r="A670" s="9"/>
      <c r="B670" s="9"/>
      <c r="C670" s="9"/>
      <c r="D670" s="9"/>
      <c r="E670" s="9"/>
    </row>
    <row r="671" ht="15.75" customHeight="1" spans="1:5">
      <c r="A671" s="9"/>
      <c r="B671" s="9"/>
      <c r="C671" s="9"/>
      <c r="D671" s="9"/>
      <c r="E671" s="9"/>
    </row>
    <row r="672" ht="15.75" customHeight="1" spans="1:5">
      <c r="A672" s="9"/>
      <c r="B672" s="9"/>
      <c r="C672" s="9"/>
      <c r="D672" s="9"/>
      <c r="E672" s="9"/>
    </row>
    <row r="673" ht="15.75" customHeight="1" spans="1:5">
      <c r="A673" s="9"/>
      <c r="B673" s="9"/>
      <c r="C673" s="9"/>
      <c r="D673" s="9"/>
      <c r="E673" s="9"/>
    </row>
    <row r="674" ht="15.75" customHeight="1" spans="1:5">
      <c r="A674" s="9"/>
      <c r="B674" s="9"/>
      <c r="C674" s="9"/>
      <c r="D674" s="9"/>
      <c r="E674" s="9"/>
    </row>
    <row r="675" ht="15.75" customHeight="1" spans="1:5">
      <c r="A675" s="9"/>
      <c r="B675" s="9"/>
      <c r="C675" s="9"/>
      <c r="D675" s="9"/>
      <c r="E675" s="9"/>
    </row>
    <row r="676" ht="15.75" customHeight="1" spans="1:5">
      <c r="A676" s="9"/>
      <c r="B676" s="9"/>
      <c r="C676" s="9"/>
      <c r="D676" s="9"/>
      <c r="E676" s="9"/>
    </row>
    <row r="677" ht="15.75" customHeight="1" spans="1:5">
      <c r="A677" s="9"/>
      <c r="B677" s="9"/>
      <c r="C677" s="9"/>
      <c r="D677" s="9"/>
      <c r="E677" s="9"/>
    </row>
    <row r="678" ht="15.75" customHeight="1" spans="1:5">
      <c r="A678" s="9"/>
      <c r="B678" s="9"/>
      <c r="C678" s="9"/>
      <c r="D678" s="9"/>
      <c r="E678" s="9"/>
    </row>
    <row r="679" ht="15.75" customHeight="1" spans="1:5">
      <c r="A679" s="9"/>
      <c r="B679" s="9"/>
      <c r="C679" s="9"/>
      <c r="D679" s="9"/>
      <c r="E679" s="9"/>
    </row>
    <row r="680" ht="15.75" customHeight="1" spans="1:5">
      <c r="A680" s="9"/>
      <c r="B680" s="9"/>
      <c r="C680" s="9"/>
      <c r="D680" s="9"/>
      <c r="E680" s="9"/>
    </row>
    <row r="681" ht="15.75" customHeight="1" spans="1:5">
      <c r="A681" s="9"/>
      <c r="B681" s="9"/>
      <c r="C681" s="9"/>
      <c r="D681" s="9"/>
      <c r="E681" s="9"/>
    </row>
    <row r="682" ht="15.75" customHeight="1" spans="1:5">
      <c r="A682" s="9"/>
      <c r="B682" s="9"/>
      <c r="C682" s="9"/>
      <c r="D682" s="9"/>
      <c r="E682" s="9"/>
    </row>
    <row r="683" ht="15.75" customHeight="1" spans="1:5">
      <c r="A683" s="9"/>
      <c r="B683" s="9"/>
      <c r="C683" s="9"/>
      <c r="D683" s="9"/>
      <c r="E683" s="9"/>
    </row>
    <row r="684" ht="15.75" customHeight="1" spans="1:5">
      <c r="A684" s="9"/>
      <c r="B684" s="9"/>
      <c r="C684" s="9"/>
      <c r="D684" s="9"/>
      <c r="E684" s="9"/>
    </row>
    <row r="685" ht="15.75" customHeight="1" spans="1:5">
      <c r="A685" s="9"/>
      <c r="B685" s="9"/>
      <c r="C685" s="9"/>
      <c r="D685" s="9"/>
      <c r="E685" s="9"/>
    </row>
    <row r="686" ht="15.75" customHeight="1" spans="1:5">
      <c r="A686" s="9"/>
      <c r="B686" s="9"/>
      <c r="C686" s="9"/>
      <c r="D686" s="9"/>
      <c r="E686" s="9"/>
    </row>
    <row r="687" ht="15.75" customHeight="1" spans="1:5">
      <c r="A687" s="9"/>
      <c r="B687" s="9"/>
      <c r="C687" s="9"/>
      <c r="D687" s="9"/>
      <c r="E687" s="9"/>
    </row>
    <row r="688" ht="15.75" customHeight="1" spans="1:5">
      <c r="A688" s="9"/>
      <c r="B688" s="9"/>
      <c r="C688" s="9"/>
      <c r="D688" s="9"/>
      <c r="E688" s="9"/>
    </row>
    <row r="689" ht="15.75" customHeight="1" spans="1:5">
      <c r="A689" s="9"/>
      <c r="B689" s="9"/>
      <c r="C689" s="9"/>
      <c r="D689" s="9"/>
      <c r="E689" s="9"/>
    </row>
    <row r="690" ht="15.75" customHeight="1" spans="1:5">
      <c r="A690" s="9"/>
      <c r="B690" s="9"/>
      <c r="C690" s="9"/>
      <c r="D690" s="9"/>
      <c r="E690" s="9"/>
    </row>
    <row r="691" ht="15.75" customHeight="1" spans="1:5">
      <c r="A691" s="9"/>
      <c r="B691" s="9"/>
      <c r="C691" s="9"/>
      <c r="D691" s="9"/>
      <c r="E691" s="9"/>
    </row>
    <row r="692" ht="15.75" customHeight="1" spans="1:5">
      <c r="A692" s="9"/>
      <c r="B692" s="9"/>
      <c r="C692" s="9"/>
      <c r="D692" s="9"/>
      <c r="E692" s="9"/>
    </row>
    <row r="693" ht="15.75" customHeight="1" spans="1:5">
      <c r="A693" s="9"/>
      <c r="B693" s="9"/>
      <c r="C693" s="9"/>
      <c r="D693" s="9"/>
      <c r="E693" s="9"/>
    </row>
    <row r="694" ht="15.75" customHeight="1" spans="1:5">
      <c r="A694" s="9"/>
      <c r="B694" s="9"/>
      <c r="C694" s="9"/>
      <c r="D694" s="9"/>
      <c r="E694" s="9"/>
    </row>
    <row r="695" ht="15.75" customHeight="1" spans="1:5">
      <c r="A695" s="9"/>
      <c r="B695" s="9"/>
      <c r="C695" s="9"/>
      <c r="D695" s="9"/>
      <c r="E695" s="9"/>
    </row>
    <row r="696" ht="15.75" customHeight="1" spans="1:5">
      <c r="A696" s="9"/>
      <c r="B696" s="9"/>
      <c r="C696" s="9"/>
      <c r="D696" s="9"/>
      <c r="E696" s="9"/>
    </row>
    <row r="697" ht="15.75" customHeight="1" spans="1:5">
      <c r="A697" s="9"/>
      <c r="B697" s="9"/>
      <c r="C697" s="9"/>
      <c r="D697" s="9"/>
      <c r="E697" s="9"/>
    </row>
    <row r="698" ht="15.75" customHeight="1" spans="1:5">
      <c r="A698" s="9"/>
      <c r="B698" s="9"/>
      <c r="C698" s="9"/>
      <c r="D698" s="9"/>
      <c r="E698" s="9"/>
    </row>
    <row r="699" ht="15.75" customHeight="1" spans="1:5">
      <c r="A699" s="9"/>
      <c r="B699" s="9"/>
      <c r="C699" s="9"/>
      <c r="D699" s="9"/>
      <c r="E699" s="9"/>
    </row>
    <row r="700" ht="15.75" customHeight="1" spans="1:5">
      <c r="A700" s="9"/>
      <c r="B700" s="9"/>
      <c r="C700" s="9"/>
      <c r="D700" s="9"/>
      <c r="E700" s="9"/>
    </row>
    <row r="701" ht="15.75" customHeight="1" spans="1:5">
      <c r="A701" s="9"/>
      <c r="B701" s="9"/>
      <c r="C701" s="9"/>
      <c r="D701" s="9"/>
      <c r="E701" s="9"/>
    </row>
    <row r="702" ht="15.75" customHeight="1" spans="1:5">
      <c r="A702" s="9"/>
      <c r="B702" s="9"/>
      <c r="C702" s="9"/>
      <c r="D702" s="9"/>
      <c r="E702" s="9"/>
    </row>
    <row r="703" ht="15.75" customHeight="1" spans="1:5">
      <c r="A703" s="9"/>
      <c r="B703" s="9"/>
      <c r="C703" s="9"/>
      <c r="D703" s="9"/>
      <c r="E703" s="9"/>
    </row>
    <row r="704" ht="15.75" customHeight="1" spans="1:5">
      <c r="A704" s="9"/>
      <c r="B704" s="9"/>
      <c r="C704" s="9"/>
      <c r="D704" s="9"/>
      <c r="E704" s="9"/>
    </row>
    <row r="705" ht="15.75" customHeight="1" spans="1:5">
      <c r="A705" s="9"/>
      <c r="B705" s="9"/>
      <c r="C705" s="9"/>
      <c r="D705" s="9"/>
      <c r="E705" s="9"/>
    </row>
    <row r="706" ht="15.75" customHeight="1" spans="1:5">
      <c r="A706" s="9"/>
      <c r="B706" s="9"/>
      <c r="C706" s="9"/>
      <c r="D706" s="9"/>
      <c r="E706" s="9"/>
    </row>
    <row r="707" ht="15.75" customHeight="1" spans="1:5">
      <c r="A707" s="9"/>
      <c r="B707" s="9"/>
      <c r="C707" s="9"/>
      <c r="D707" s="9"/>
      <c r="E707" s="9"/>
    </row>
    <row r="708" ht="15.75" customHeight="1" spans="1:5">
      <c r="A708" s="9"/>
      <c r="B708" s="9"/>
      <c r="C708" s="9"/>
      <c r="D708" s="9"/>
      <c r="E708" s="9"/>
    </row>
    <row r="709" ht="15.75" customHeight="1" spans="1:5">
      <c r="A709" s="9"/>
      <c r="B709" s="9"/>
      <c r="C709" s="9"/>
      <c r="D709" s="9"/>
      <c r="E709" s="9"/>
    </row>
    <row r="710" ht="15.75" customHeight="1" spans="1:5">
      <c r="A710" s="9"/>
      <c r="B710" s="9"/>
      <c r="C710" s="9"/>
      <c r="D710" s="9"/>
      <c r="E710" s="9"/>
    </row>
    <row r="711" ht="15.75" customHeight="1" spans="1:5">
      <c r="A711" s="9"/>
      <c r="B711" s="9"/>
      <c r="C711" s="9"/>
      <c r="D711" s="9"/>
      <c r="E711" s="9"/>
    </row>
    <row r="712" ht="15.75" customHeight="1" spans="1:5">
      <c r="A712" s="9"/>
      <c r="B712" s="9"/>
      <c r="C712" s="9"/>
      <c r="D712" s="9"/>
      <c r="E712" s="9"/>
    </row>
    <row r="713" ht="15.75" customHeight="1" spans="1:5">
      <c r="A713" s="9"/>
      <c r="B713" s="9"/>
      <c r="C713" s="9"/>
      <c r="D713" s="9"/>
      <c r="E713" s="9"/>
    </row>
    <row r="714" ht="15.75" customHeight="1" spans="1:5">
      <c r="A714" s="9"/>
      <c r="B714" s="9"/>
      <c r="C714" s="9"/>
      <c r="D714" s="9"/>
      <c r="E714" s="9"/>
    </row>
    <row r="715" ht="15.75" customHeight="1" spans="1:5">
      <c r="A715" s="9"/>
      <c r="B715" s="9"/>
      <c r="C715" s="9"/>
      <c r="D715" s="9"/>
      <c r="E715" s="9"/>
    </row>
    <row r="716" ht="15.75" customHeight="1" spans="1:5">
      <c r="A716" s="9"/>
      <c r="B716" s="9"/>
      <c r="C716" s="9"/>
      <c r="D716" s="9"/>
      <c r="E716" s="9"/>
    </row>
    <row r="717" ht="15.75" customHeight="1" spans="1:5">
      <c r="A717" s="9"/>
      <c r="B717" s="9"/>
      <c r="C717" s="9"/>
      <c r="D717" s="9"/>
      <c r="E717" s="9"/>
    </row>
    <row r="718" ht="15.75" customHeight="1" spans="1:5">
      <c r="A718" s="9"/>
      <c r="B718" s="9"/>
      <c r="C718" s="9"/>
      <c r="D718" s="9"/>
      <c r="E718" s="9"/>
    </row>
    <row r="719" ht="15.75" customHeight="1" spans="1:5">
      <c r="A719" s="9"/>
      <c r="B719" s="9"/>
      <c r="C719" s="9"/>
      <c r="D719" s="9"/>
      <c r="E719" s="9"/>
    </row>
    <row r="720" ht="15.75" customHeight="1" spans="1:5">
      <c r="A720" s="9"/>
      <c r="B720" s="9"/>
      <c r="C720" s="9"/>
      <c r="D720" s="9"/>
      <c r="E720" s="9"/>
    </row>
    <row r="721" ht="15.75" customHeight="1" spans="1:5">
      <c r="A721" s="9"/>
      <c r="B721" s="9"/>
      <c r="C721" s="9"/>
      <c r="D721" s="9"/>
      <c r="E721" s="9"/>
    </row>
    <row r="722" ht="15.75" customHeight="1" spans="1:5">
      <c r="A722" s="9"/>
      <c r="B722" s="9"/>
      <c r="C722" s="9"/>
      <c r="D722" s="9"/>
      <c r="E722" s="9"/>
    </row>
    <row r="723" ht="15.75" customHeight="1" spans="1:5">
      <c r="A723" s="9"/>
      <c r="B723" s="9"/>
      <c r="C723" s="9"/>
      <c r="D723" s="9"/>
      <c r="E723" s="9"/>
    </row>
    <row r="724" ht="15.75" customHeight="1" spans="1:5">
      <c r="A724" s="9"/>
      <c r="B724" s="9"/>
      <c r="C724" s="9"/>
      <c r="D724" s="9"/>
      <c r="E724" s="9"/>
    </row>
    <row r="725" ht="15.75" customHeight="1" spans="1:5">
      <c r="A725" s="9"/>
      <c r="B725" s="9"/>
      <c r="C725" s="9"/>
      <c r="D725" s="9"/>
      <c r="E725" s="9"/>
    </row>
    <row r="726" ht="15.75" customHeight="1" spans="1:5">
      <c r="A726" s="9"/>
      <c r="B726" s="9"/>
      <c r="C726" s="9"/>
      <c r="D726" s="9"/>
      <c r="E726" s="9"/>
    </row>
    <row r="727" ht="15.75" customHeight="1" spans="1:5">
      <c r="A727" s="9"/>
      <c r="B727" s="9"/>
      <c r="C727" s="9"/>
      <c r="D727" s="9"/>
      <c r="E727" s="9"/>
    </row>
    <row r="728" ht="15.75" customHeight="1" spans="1:5">
      <c r="A728" s="9"/>
      <c r="B728" s="9"/>
      <c r="C728" s="9"/>
      <c r="D728" s="9"/>
      <c r="E728" s="9"/>
    </row>
    <row r="729" ht="15.75" customHeight="1" spans="1:5">
      <c r="A729" s="9"/>
      <c r="B729" s="9"/>
      <c r="C729" s="9"/>
      <c r="D729" s="9"/>
      <c r="E729" s="9"/>
    </row>
    <row r="730" ht="15.75" customHeight="1" spans="1:5">
      <c r="A730" s="9"/>
      <c r="B730" s="9"/>
      <c r="C730" s="9"/>
      <c r="D730" s="9"/>
      <c r="E730" s="9"/>
    </row>
    <row r="731" ht="15.75" customHeight="1" spans="1:5">
      <c r="A731" s="9"/>
      <c r="B731" s="9"/>
      <c r="C731" s="9"/>
      <c r="D731" s="9"/>
      <c r="E731" s="9"/>
    </row>
    <row r="732" ht="15.75" customHeight="1" spans="1:5">
      <c r="A732" s="9"/>
      <c r="B732" s="9"/>
      <c r="C732" s="9"/>
      <c r="D732" s="9"/>
      <c r="E732" s="9"/>
    </row>
    <row r="733" ht="15.75" customHeight="1" spans="1:5">
      <c r="A733" s="9"/>
      <c r="B733" s="9"/>
      <c r="C733" s="9"/>
      <c r="D733" s="9"/>
      <c r="E733" s="9"/>
    </row>
    <row r="734" ht="15.75" customHeight="1" spans="1:5">
      <c r="A734" s="9"/>
      <c r="B734" s="9"/>
      <c r="C734" s="9"/>
      <c r="D734" s="9"/>
      <c r="E734" s="9"/>
    </row>
    <row r="735" ht="15.75" customHeight="1" spans="1:5">
      <c r="A735" s="9"/>
      <c r="B735" s="9"/>
      <c r="C735" s="9"/>
      <c r="D735" s="9"/>
      <c r="E735" s="9"/>
    </row>
    <row r="736" ht="15.75" customHeight="1" spans="1:5">
      <c r="A736" s="9"/>
      <c r="B736" s="9"/>
      <c r="C736" s="9"/>
      <c r="D736" s="9"/>
      <c r="E736" s="9"/>
    </row>
    <row r="737" ht="15.75" customHeight="1" spans="1:5">
      <c r="A737" s="9"/>
      <c r="B737" s="9"/>
      <c r="C737" s="9"/>
      <c r="D737" s="9"/>
      <c r="E737" s="9"/>
    </row>
    <row r="738" ht="15.75" customHeight="1" spans="1:5">
      <c r="A738" s="9"/>
      <c r="B738" s="9"/>
      <c r="C738" s="9"/>
      <c r="D738" s="9"/>
      <c r="E738" s="9"/>
    </row>
    <row r="739" ht="15.75" customHeight="1" spans="1:5">
      <c r="A739" s="9"/>
      <c r="B739" s="9"/>
      <c r="C739" s="9"/>
      <c r="D739" s="9"/>
      <c r="E739" s="9"/>
    </row>
    <row r="740" ht="15.75" customHeight="1" spans="1:5">
      <c r="A740" s="9"/>
      <c r="B740" s="9"/>
      <c r="C740" s="9"/>
      <c r="D740" s="9"/>
      <c r="E740" s="9"/>
    </row>
    <row r="741" ht="15.75" customHeight="1" spans="1:5">
      <c r="A741" s="9"/>
      <c r="B741" s="9"/>
      <c r="C741" s="9"/>
      <c r="D741" s="9"/>
      <c r="E741" s="9"/>
    </row>
    <row r="742" ht="15.75" customHeight="1" spans="1:5">
      <c r="A742" s="9"/>
      <c r="B742" s="9"/>
      <c r="C742" s="9"/>
      <c r="D742" s="9"/>
      <c r="E742" s="9"/>
    </row>
    <row r="743" ht="15.75" customHeight="1" spans="1:5">
      <c r="A743" s="9"/>
      <c r="B743" s="9"/>
      <c r="C743" s="9"/>
      <c r="D743" s="9"/>
      <c r="E743" s="9"/>
    </row>
    <row r="744" ht="15.75" customHeight="1" spans="1:5">
      <c r="A744" s="9"/>
      <c r="B744" s="9"/>
      <c r="C744" s="9"/>
      <c r="D744" s="9"/>
      <c r="E744" s="9"/>
    </row>
    <row r="745" ht="15.75" customHeight="1" spans="1:5">
      <c r="A745" s="9"/>
      <c r="B745" s="9"/>
      <c r="C745" s="9"/>
      <c r="D745" s="9"/>
      <c r="E745" s="9"/>
    </row>
    <row r="746" ht="15.75" customHeight="1" spans="1:5">
      <c r="A746" s="9"/>
      <c r="B746" s="9"/>
      <c r="C746" s="9"/>
      <c r="D746" s="9"/>
      <c r="E746" s="9"/>
    </row>
    <row r="747" ht="15.75" customHeight="1" spans="1:5">
      <c r="A747" s="9"/>
      <c r="B747" s="9"/>
      <c r="C747" s="9"/>
      <c r="D747" s="9"/>
      <c r="E747" s="9"/>
    </row>
    <row r="748" ht="15.75" customHeight="1" spans="1:5">
      <c r="A748" s="9"/>
      <c r="B748" s="9"/>
      <c r="C748" s="9"/>
      <c r="D748" s="9"/>
      <c r="E748" s="9"/>
    </row>
    <row r="749" ht="15.75" customHeight="1" spans="1:5">
      <c r="A749" s="9"/>
      <c r="B749" s="9"/>
      <c r="C749" s="9"/>
      <c r="D749" s="9"/>
      <c r="E749" s="9"/>
    </row>
    <row r="750" ht="15.75" customHeight="1" spans="1:5">
      <c r="A750" s="9"/>
      <c r="B750" s="9"/>
      <c r="C750" s="9"/>
      <c r="D750" s="9"/>
      <c r="E750" s="9"/>
    </row>
    <row r="751" ht="15.75" customHeight="1" spans="1:5">
      <c r="A751" s="9"/>
      <c r="B751" s="9"/>
      <c r="C751" s="9"/>
      <c r="D751" s="9"/>
      <c r="E751" s="9"/>
    </row>
    <row r="752" ht="15.75" customHeight="1" spans="1:5">
      <c r="A752" s="9"/>
      <c r="B752" s="9"/>
      <c r="C752" s="9"/>
      <c r="D752" s="9"/>
      <c r="E752" s="9"/>
    </row>
    <row r="753" ht="15.75" customHeight="1" spans="1:5">
      <c r="A753" s="9"/>
      <c r="B753" s="9"/>
      <c r="C753" s="9"/>
      <c r="D753" s="9"/>
      <c r="E753" s="9"/>
    </row>
    <row r="754" ht="15.75" customHeight="1" spans="1:5">
      <c r="A754" s="9"/>
      <c r="B754" s="9"/>
      <c r="C754" s="9"/>
      <c r="D754" s="9"/>
      <c r="E754" s="9"/>
    </row>
    <row r="755" ht="15.75" customHeight="1" spans="1:5">
      <c r="A755" s="9"/>
      <c r="B755" s="9"/>
      <c r="C755" s="9"/>
      <c r="D755" s="9"/>
      <c r="E755" s="9"/>
    </row>
    <row r="756" ht="15.75" customHeight="1" spans="1:5">
      <c r="A756" s="9"/>
      <c r="B756" s="9"/>
      <c r="C756" s="9"/>
      <c r="D756" s="9"/>
      <c r="E756" s="9"/>
    </row>
    <row r="757" ht="15.75" customHeight="1" spans="1:5">
      <c r="A757" s="9"/>
      <c r="B757" s="9"/>
      <c r="C757" s="9"/>
      <c r="D757" s="9"/>
      <c r="E757" s="9"/>
    </row>
    <row r="758" ht="15.75" customHeight="1" spans="1:5">
      <c r="A758" s="9"/>
      <c r="B758" s="9"/>
      <c r="C758" s="9"/>
      <c r="D758" s="9"/>
      <c r="E758" s="9"/>
    </row>
    <row r="759" ht="15.75" customHeight="1" spans="1:5">
      <c r="A759" s="9"/>
      <c r="B759" s="9"/>
      <c r="C759" s="9"/>
      <c r="D759" s="9"/>
      <c r="E759" s="9"/>
    </row>
    <row r="760" ht="15.75" customHeight="1" spans="1:5">
      <c r="A760" s="9"/>
      <c r="B760" s="9"/>
      <c r="C760" s="9"/>
      <c r="D760" s="9"/>
      <c r="E760" s="9"/>
    </row>
    <row r="761" ht="15.75" customHeight="1" spans="1:5">
      <c r="A761" s="9"/>
      <c r="B761" s="9"/>
      <c r="C761" s="9"/>
      <c r="D761" s="9"/>
      <c r="E761" s="9"/>
    </row>
    <row r="762" ht="15.75" customHeight="1" spans="1:5">
      <c r="A762" s="9"/>
      <c r="B762" s="9"/>
      <c r="C762" s="9"/>
      <c r="D762" s="9"/>
      <c r="E762" s="9"/>
    </row>
    <row r="763" ht="15.75" customHeight="1" spans="1:5">
      <c r="A763" s="9"/>
      <c r="B763" s="9"/>
      <c r="C763" s="9"/>
      <c r="D763" s="9"/>
      <c r="E763" s="9"/>
    </row>
    <row r="764" ht="15.75" customHeight="1" spans="1:5">
      <c r="A764" s="9"/>
      <c r="B764" s="9"/>
      <c r="C764" s="9"/>
      <c r="D764" s="9"/>
      <c r="E764" s="9"/>
    </row>
    <row r="765" ht="15.75" customHeight="1" spans="1:5">
      <c r="A765" s="9"/>
      <c r="B765" s="9"/>
      <c r="C765" s="9"/>
      <c r="D765" s="9"/>
      <c r="E765" s="9"/>
    </row>
    <row r="766" ht="15.75" customHeight="1" spans="1:5">
      <c r="A766" s="9"/>
      <c r="B766" s="9"/>
      <c r="C766" s="9"/>
      <c r="D766" s="9"/>
      <c r="E766" s="9"/>
    </row>
    <row r="767" ht="15.75" customHeight="1" spans="1:5">
      <c r="A767" s="9"/>
      <c r="B767" s="9"/>
      <c r="C767" s="9"/>
      <c r="D767" s="9"/>
      <c r="E767" s="9"/>
    </row>
    <row r="768" ht="15.75" customHeight="1" spans="1:5">
      <c r="A768" s="9"/>
      <c r="B768" s="9"/>
      <c r="C768" s="9"/>
      <c r="D768" s="9"/>
      <c r="E768" s="9"/>
    </row>
    <row r="769" ht="15.75" customHeight="1" spans="1:5">
      <c r="A769" s="9"/>
      <c r="B769" s="9"/>
      <c r="C769" s="9"/>
      <c r="D769" s="9"/>
      <c r="E769" s="9"/>
    </row>
    <row r="770" ht="15.75" customHeight="1" spans="1:5">
      <c r="A770" s="9"/>
      <c r="B770" s="9"/>
      <c r="C770" s="9"/>
      <c r="D770" s="9"/>
      <c r="E770" s="9"/>
    </row>
    <row r="771" ht="15.75" customHeight="1" spans="1:5">
      <c r="A771" s="9"/>
      <c r="B771" s="9"/>
      <c r="C771" s="9"/>
      <c r="D771" s="9"/>
      <c r="E771" s="9"/>
    </row>
    <row r="772" ht="15.75" customHeight="1" spans="1:5">
      <c r="A772" s="9"/>
      <c r="B772" s="9"/>
      <c r="C772" s="9"/>
      <c r="D772" s="9"/>
      <c r="E772" s="9"/>
    </row>
    <row r="773" ht="15.75" customHeight="1" spans="1:5">
      <c r="A773" s="9"/>
      <c r="B773" s="9"/>
      <c r="C773" s="9"/>
      <c r="D773" s="9"/>
      <c r="E773" s="9"/>
    </row>
    <row r="774" ht="15.75" customHeight="1" spans="1:5">
      <c r="A774" s="9"/>
      <c r="B774" s="9"/>
      <c r="C774" s="9"/>
      <c r="D774" s="9"/>
      <c r="E774" s="9"/>
    </row>
    <row r="775" ht="15.75" customHeight="1" spans="1:5">
      <c r="A775" s="9"/>
      <c r="B775" s="9"/>
      <c r="C775" s="9"/>
      <c r="D775" s="9"/>
      <c r="E775" s="9"/>
    </row>
    <row r="776" ht="15.75" customHeight="1" spans="1:5">
      <c r="A776" s="9"/>
      <c r="B776" s="9"/>
      <c r="C776" s="9"/>
      <c r="D776" s="9"/>
      <c r="E776" s="9"/>
    </row>
    <row r="777" ht="15.75" customHeight="1" spans="1:5">
      <c r="A777" s="9"/>
      <c r="B777" s="9"/>
      <c r="C777" s="9"/>
      <c r="D777" s="9"/>
      <c r="E777" s="9"/>
    </row>
    <row r="778" ht="15.75" customHeight="1" spans="1:5">
      <c r="A778" s="9"/>
      <c r="B778" s="9"/>
      <c r="C778" s="9"/>
      <c r="D778" s="9"/>
      <c r="E778" s="9"/>
    </row>
    <row r="779" ht="15.75" customHeight="1" spans="1:5">
      <c r="A779" s="9"/>
      <c r="B779" s="9"/>
      <c r="C779" s="9"/>
      <c r="D779" s="9"/>
      <c r="E779" s="9"/>
    </row>
    <row r="780" ht="15.75" customHeight="1" spans="1:5">
      <c r="A780" s="9"/>
      <c r="B780" s="9"/>
      <c r="C780" s="9"/>
      <c r="D780" s="9"/>
      <c r="E780" s="9"/>
    </row>
    <row r="781" ht="15.75" customHeight="1" spans="1:5">
      <c r="A781" s="9"/>
      <c r="B781" s="9"/>
      <c r="C781" s="9"/>
      <c r="D781" s="9"/>
      <c r="E781" s="9"/>
    </row>
    <row r="782" ht="15.75" customHeight="1" spans="1:5">
      <c r="A782" s="9"/>
      <c r="B782" s="9"/>
      <c r="C782" s="9"/>
      <c r="D782" s="9"/>
      <c r="E782" s="9"/>
    </row>
    <row r="783" ht="15.75" customHeight="1" spans="1:5">
      <c r="A783" s="9"/>
      <c r="B783" s="9"/>
      <c r="C783" s="9"/>
      <c r="D783" s="9"/>
      <c r="E783" s="9"/>
    </row>
    <row r="784" ht="15.75" customHeight="1" spans="1:5">
      <c r="A784" s="9"/>
      <c r="B784" s="9"/>
      <c r="C784" s="9"/>
      <c r="D784" s="9"/>
      <c r="E784" s="9"/>
    </row>
    <row r="785" ht="15.75" customHeight="1" spans="1:5">
      <c r="A785" s="9"/>
      <c r="B785" s="9"/>
      <c r="C785" s="9"/>
      <c r="D785" s="9"/>
      <c r="E785" s="9"/>
    </row>
    <row r="786" ht="15.75" customHeight="1" spans="1:5">
      <c r="A786" s="9"/>
      <c r="B786" s="9"/>
      <c r="C786" s="9"/>
      <c r="D786" s="9"/>
      <c r="E786" s="9"/>
    </row>
    <row r="787" ht="15.75" customHeight="1" spans="1:5">
      <c r="A787" s="9"/>
      <c r="B787" s="9"/>
      <c r="C787" s="9"/>
      <c r="D787" s="9"/>
      <c r="E787" s="9"/>
    </row>
    <row r="788" ht="15.75" customHeight="1" spans="1:5">
      <c r="A788" s="9"/>
      <c r="B788" s="9"/>
      <c r="C788" s="9"/>
      <c r="D788" s="9"/>
      <c r="E788" s="9"/>
    </row>
    <row r="789" ht="15.75" customHeight="1" spans="1:5">
      <c r="A789" s="9"/>
      <c r="B789" s="9"/>
      <c r="C789" s="9"/>
      <c r="D789" s="9"/>
      <c r="E789" s="9"/>
    </row>
    <row r="790" ht="15.75" customHeight="1" spans="1:5">
      <c r="A790" s="9"/>
      <c r="B790" s="9"/>
      <c r="C790" s="9"/>
      <c r="D790" s="9"/>
      <c r="E790" s="9"/>
    </row>
    <row r="791" ht="15.75" customHeight="1" spans="1:5">
      <c r="A791" s="9"/>
      <c r="B791" s="9"/>
      <c r="C791" s="9"/>
      <c r="D791" s="9"/>
      <c r="E791" s="9"/>
    </row>
    <row r="792" ht="15.75" customHeight="1" spans="1:5">
      <c r="A792" s="9"/>
      <c r="B792" s="9"/>
      <c r="C792" s="9"/>
      <c r="D792" s="9"/>
      <c r="E792" s="9"/>
    </row>
    <row r="793" ht="15.75" customHeight="1" spans="1:5">
      <c r="A793" s="9"/>
      <c r="B793" s="9"/>
      <c r="C793" s="9"/>
      <c r="D793" s="9"/>
      <c r="E793" s="9"/>
    </row>
    <row r="794" ht="15.75" customHeight="1" spans="1:5">
      <c r="A794" s="9"/>
      <c r="B794" s="9"/>
      <c r="C794" s="9"/>
      <c r="D794" s="9"/>
      <c r="E794" s="9"/>
    </row>
    <row r="795" ht="15.75" customHeight="1" spans="1:5">
      <c r="A795" s="9"/>
      <c r="B795" s="9"/>
      <c r="C795" s="9"/>
      <c r="D795" s="9"/>
      <c r="E795" s="9"/>
    </row>
    <row r="796" ht="15.75" customHeight="1" spans="1:5">
      <c r="A796" s="9"/>
      <c r="B796" s="9"/>
      <c r="C796" s="9"/>
      <c r="D796" s="9"/>
      <c r="E796" s="9"/>
    </row>
    <row r="797" ht="15.75" customHeight="1" spans="1:5">
      <c r="A797" s="9"/>
      <c r="B797" s="9"/>
      <c r="C797" s="9"/>
      <c r="D797" s="9"/>
      <c r="E797" s="9"/>
    </row>
    <row r="798" ht="15.75" customHeight="1" spans="1:5">
      <c r="A798" s="9"/>
      <c r="B798" s="9"/>
      <c r="C798" s="9"/>
      <c r="D798" s="9"/>
      <c r="E798" s="9"/>
    </row>
    <row r="799" ht="15.75" customHeight="1" spans="1:5">
      <c r="A799" s="9"/>
      <c r="B799" s="9"/>
      <c r="C799" s="9"/>
      <c r="D799" s="9"/>
      <c r="E799" s="9"/>
    </row>
    <row r="800" ht="15.75" customHeight="1" spans="1:5">
      <c r="A800" s="9"/>
      <c r="B800" s="9"/>
      <c r="C800" s="9"/>
      <c r="D800" s="9"/>
      <c r="E800" s="9"/>
    </row>
    <row r="801" ht="15.75" customHeight="1" spans="1:5">
      <c r="A801" s="9"/>
      <c r="B801" s="9"/>
      <c r="C801" s="9"/>
      <c r="D801" s="9"/>
      <c r="E801" s="9"/>
    </row>
    <row r="802" ht="15.75" customHeight="1" spans="1:5">
      <c r="A802" s="9"/>
      <c r="B802" s="9"/>
      <c r="C802" s="9"/>
      <c r="D802" s="9"/>
      <c r="E802" s="9"/>
    </row>
    <row r="803" ht="15.75" customHeight="1" spans="1:5">
      <c r="A803" s="9"/>
      <c r="B803" s="9"/>
      <c r="C803" s="9"/>
      <c r="D803" s="9"/>
      <c r="E803" s="9"/>
    </row>
    <row r="804" ht="15.75" customHeight="1" spans="1:5">
      <c r="A804" s="9"/>
      <c r="B804" s="9"/>
      <c r="C804" s="9"/>
      <c r="D804" s="9"/>
      <c r="E804" s="9"/>
    </row>
    <row r="805" ht="15.75" customHeight="1" spans="1:5">
      <c r="A805" s="9"/>
      <c r="B805" s="9"/>
      <c r="C805" s="9"/>
      <c r="D805" s="9"/>
      <c r="E805" s="9"/>
    </row>
    <row r="806" ht="15.75" customHeight="1" spans="1:5">
      <c r="A806" s="9"/>
      <c r="B806" s="9"/>
      <c r="C806" s="9"/>
      <c r="D806" s="9"/>
      <c r="E806" s="9"/>
    </row>
    <row r="807" ht="15.75" customHeight="1" spans="1:5">
      <c r="A807" s="9"/>
      <c r="B807" s="9"/>
      <c r="C807" s="9"/>
      <c r="D807" s="9"/>
      <c r="E807" s="9"/>
    </row>
    <row r="808" ht="15.75" customHeight="1" spans="1:5">
      <c r="A808" s="9"/>
      <c r="B808" s="9"/>
      <c r="C808" s="9"/>
      <c r="D808" s="9"/>
      <c r="E808" s="9"/>
    </row>
    <row r="809" ht="15.75" customHeight="1" spans="1:5">
      <c r="A809" s="9"/>
      <c r="B809" s="9"/>
      <c r="C809" s="9"/>
      <c r="D809" s="9"/>
      <c r="E809" s="9"/>
    </row>
    <row r="810" ht="15.75" customHeight="1" spans="1:5">
      <c r="A810" s="9"/>
      <c r="B810" s="9"/>
      <c r="C810" s="9"/>
      <c r="D810" s="9"/>
      <c r="E810" s="9"/>
    </row>
    <row r="811" ht="15.75" customHeight="1" spans="1:5">
      <c r="A811" s="9"/>
      <c r="B811" s="9"/>
      <c r="C811" s="9"/>
      <c r="D811" s="9"/>
      <c r="E811" s="9"/>
    </row>
    <row r="812" ht="15.75" customHeight="1" spans="1:5">
      <c r="A812" s="9"/>
      <c r="B812" s="9"/>
      <c r="C812" s="9"/>
      <c r="D812" s="9"/>
      <c r="E812" s="9"/>
    </row>
    <row r="813" ht="15.75" customHeight="1" spans="1:5">
      <c r="A813" s="9"/>
      <c r="B813" s="9"/>
      <c r="C813" s="9"/>
      <c r="D813" s="9"/>
      <c r="E813" s="9"/>
    </row>
    <row r="814" ht="15.75" customHeight="1" spans="1:5">
      <c r="A814" s="9"/>
      <c r="B814" s="9"/>
      <c r="C814" s="9"/>
      <c r="D814" s="9"/>
      <c r="E814" s="9"/>
    </row>
    <row r="815" ht="15.75" customHeight="1" spans="1:5">
      <c r="A815" s="9"/>
      <c r="B815" s="9"/>
      <c r="C815" s="9"/>
      <c r="D815" s="9"/>
      <c r="E815" s="9"/>
    </row>
    <row r="816" ht="15.75" customHeight="1" spans="1:5">
      <c r="A816" s="9"/>
      <c r="B816" s="9"/>
      <c r="C816" s="9"/>
      <c r="D816" s="9"/>
      <c r="E816" s="9"/>
    </row>
    <row r="817" ht="15.75" customHeight="1" spans="1:5">
      <c r="A817" s="9"/>
      <c r="B817" s="9"/>
      <c r="C817" s="9"/>
      <c r="D817" s="9"/>
      <c r="E817" s="9"/>
    </row>
    <row r="818" ht="15.75" customHeight="1" spans="1:5">
      <c r="A818" s="9"/>
      <c r="B818" s="9"/>
      <c r="C818" s="9"/>
      <c r="D818" s="9"/>
      <c r="E818" s="9"/>
    </row>
    <row r="819" ht="15.75" customHeight="1" spans="1:5">
      <c r="A819" s="9"/>
      <c r="B819" s="9"/>
      <c r="C819" s="9"/>
      <c r="D819" s="9"/>
      <c r="E819" s="9"/>
    </row>
    <row r="820" ht="15.75" customHeight="1" spans="1:5">
      <c r="A820" s="9"/>
      <c r="B820" s="9"/>
      <c r="C820" s="9"/>
      <c r="D820" s="9"/>
      <c r="E820" s="9"/>
    </row>
    <row r="821" ht="15.75" customHeight="1" spans="1:5">
      <c r="A821" s="9"/>
      <c r="B821" s="9"/>
      <c r="C821" s="9"/>
      <c r="D821" s="9"/>
      <c r="E821" s="9"/>
    </row>
    <row r="822" ht="15.75" customHeight="1" spans="1:5">
      <c r="A822" s="9"/>
      <c r="B822" s="9"/>
      <c r="C822" s="9"/>
      <c r="D822" s="9"/>
      <c r="E822" s="9"/>
    </row>
    <row r="823" ht="15.75" customHeight="1" spans="1:5">
      <c r="A823" s="9"/>
      <c r="B823" s="9"/>
      <c r="C823" s="9"/>
      <c r="D823" s="9"/>
      <c r="E823" s="9"/>
    </row>
    <row r="824" ht="15.75" customHeight="1" spans="1:5">
      <c r="A824" s="9"/>
      <c r="B824" s="9"/>
      <c r="C824" s="9"/>
      <c r="D824" s="9"/>
      <c r="E824" s="9"/>
    </row>
    <row r="825" ht="15.75" customHeight="1" spans="1:5">
      <c r="A825" s="9"/>
      <c r="B825" s="9"/>
      <c r="C825" s="9"/>
      <c r="D825" s="9"/>
      <c r="E825" s="9"/>
    </row>
    <row r="826" ht="15.75" customHeight="1" spans="1:5">
      <c r="A826" s="9"/>
      <c r="B826" s="9"/>
      <c r="C826" s="9"/>
      <c r="D826" s="9"/>
      <c r="E826" s="9"/>
    </row>
    <row r="827" ht="15.75" customHeight="1" spans="1:5">
      <c r="A827" s="9"/>
      <c r="B827" s="9"/>
      <c r="C827" s="9"/>
      <c r="D827" s="9"/>
      <c r="E827" s="9"/>
    </row>
    <row r="828" ht="15.75" customHeight="1" spans="1:5">
      <c r="A828" s="9"/>
      <c r="B828" s="9"/>
      <c r="C828" s="9"/>
      <c r="D828" s="9"/>
      <c r="E828" s="9"/>
    </row>
    <row r="829" ht="15.75" customHeight="1" spans="1:5">
      <c r="A829" s="9"/>
      <c r="B829" s="9"/>
      <c r="C829" s="9"/>
      <c r="D829" s="9"/>
      <c r="E829" s="9"/>
    </row>
    <row r="830" ht="15.75" customHeight="1" spans="1:5">
      <c r="A830" s="9"/>
      <c r="B830" s="9"/>
      <c r="C830" s="9"/>
      <c r="D830" s="9"/>
      <c r="E830" s="9"/>
    </row>
    <row r="831" ht="15.75" customHeight="1" spans="1:5">
      <c r="A831" s="9"/>
      <c r="B831" s="9"/>
      <c r="C831" s="9"/>
      <c r="D831" s="9"/>
      <c r="E831" s="9"/>
    </row>
    <row r="832" ht="15.75" customHeight="1" spans="1:5">
      <c r="A832" s="9"/>
      <c r="B832" s="9"/>
      <c r="C832" s="9"/>
      <c r="D832" s="9"/>
      <c r="E832" s="9"/>
    </row>
    <row r="833" ht="15.75" customHeight="1" spans="1:5">
      <c r="A833" s="9"/>
      <c r="B833" s="9"/>
      <c r="C833" s="9"/>
      <c r="D833" s="9"/>
      <c r="E833" s="9"/>
    </row>
    <row r="834" ht="15.75" customHeight="1" spans="1:5">
      <c r="A834" s="9"/>
      <c r="B834" s="9"/>
      <c r="C834" s="9"/>
      <c r="D834" s="9"/>
      <c r="E834" s="9"/>
    </row>
    <row r="835" ht="15.75" customHeight="1" spans="1:5">
      <c r="A835" s="9"/>
      <c r="B835" s="9"/>
      <c r="C835" s="9"/>
      <c r="D835" s="9"/>
      <c r="E835" s="9"/>
    </row>
    <row r="836" ht="15.75" customHeight="1" spans="1:5">
      <c r="A836" s="9"/>
      <c r="B836" s="9"/>
      <c r="C836" s="9"/>
      <c r="D836" s="9"/>
      <c r="E836" s="9"/>
    </row>
    <row r="837" ht="15.75" customHeight="1" spans="1:5">
      <c r="A837" s="9"/>
      <c r="B837" s="9"/>
      <c r="C837" s="9"/>
      <c r="D837" s="9"/>
      <c r="E837" s="9"/>
    </row>
    <row r="838" ht="15.75" customHeight="1" spans="1:5">
      <c r="A838" s="9"/>
      <c r="B838" s="9"/>
      <c r="C838" s="9"/>
      <c r="D838" s="9"/>
      <c r="E838" s="9"/>
    </row>
    <row r="839" ht="15.75" customHeight="1" spans="1:5">
      <c r="A839" s="9"/>
      <c r="B839" s="9"/>
      <c r="C839" s="9"/>
      <c r="D839" s="9"/>
      <c r="E839" s="9"/>
    </row>
    <row r="840" ht="15.75" customHeight="1" spans="1:5">
      <c r="A840" s="9"/>
      <c r="B840" s="9"/>
      <c r="C840" s="9"/>
      <c r="D840" s="9"/>
      <c r="E840" s="9"/>
    </row>
    <row r="841" ht="15.75" customHeight="1" spans="1:5">
      <c r="A841" s="9"/>
      <c r="B841" s="9"/>
      <c r="C841" s="9"/>
      <c r="D841" s="9"/>
      <c r="E841" s="9"/>
    </row>
    <row r="842" ht="15.75" customHeight="1" spans="1:5">
      <c r="A842" s="9"/>
      <c r="B842" s="9"/>
      <c r="C842" s="9"/>
      <c r="D842" s="9"/>
      <c r="E842" s="9"/>
    </row>
    <row r="843" ht="15.75" customHeight="1" spans="1:5">
      <c r="A843" s="9"/>
      <c r="B843" s="9"/>
      <c r="C843" s="9"/>
      <c r="D843" s="9"/>
      <c r="E843" s="9"/>
    </row>
    <row r="844" ht="15.75" customHeight="1" spans="1:5">
      <c r="A844" s="9"/>
      <c r="B844" s="9"/>
      <c r="C844" s="9"/>
      <c r="D844" s="9"/>
      <c r="E844" s="9"/>
    </row>
    <row r="845" ht="15.75" customHeight="1" spans="1:5">
      <c r="A845" s="9"/>
      <c r="B845" s="9"/>
      <c r="C845" s="9"/>
      <c r="D845" s="9"/>
      <c r="E845" s="9"/>
    </row>
    <row r="846" ht="15.75" customHeight="1" spans="1:5">
      <c r="A846" s="9"/>
      <c r="B846" s="9"/>
      <c r="C846" s="9"/>
      <c r="D846" s="9"/>
      <c r="E846" s="9"/>
    </row>
    <row r="847" ht="15.75" customHeight="1" spans="1:5">
      <c r="A847" s="9"/>
      <c r="B847" s="9"/>
      <c r="C847" s="9"/>
      <c r="D847" s="9"/>
      <c r="E847" s="9"/>
    </row>
    <row r="848" ht="15.75" customHeight="1" spans="1:5">
      <c r="A848" s="9"/>
      <c r="B848" s="9"/>
      <c r="C848" s="9"/>
      <c r="D848" s="9"/>
      <c r="E848" s="9"/>
    </row>
    <row r="849" ht="15.75" customHeight="1" spans="1:5">
      <c r="A849" s="9"/>
      <c r="B849" s="9"/>
      <c r="C849" s="9"/>
      <c r="D849" s="9"/>
      <c r="E849" s="9"/>
    </row>
    <row r="850" ht="15.75" customHeight="1" spans="1:5">
      <c r="A850" s="9"/>
      <c r="B850" s="9"/>
      <c r="C850" s="9"/>
      <c r="D850" s="9"/>
      <c r="E850" s="9"/>
    </row>
    <row r="851" ht="15.75" customHeight="1" spans="1:5">
      <c r="A851" s="9"/>
      <c r="B851" s="9"/>
      <c r="C851" s="9"/>
      <c r="D851" s="9"/>
      <c r="E851" s="9"/>
    </row>
    <row r="852" ht="15.75" customHeight="1" spans="1:5">
      <c r="A852" s="9"/>
      <c r="B852" s="9"/>
      <c r="C852" s="9"/>
      <c r="D852" s="9"/>
      <c r="E852" s="9"/>
    </row>
    <row r="853" ht="15.75" customHeight="1" spans="1:5">
      <c r="A853" s="9"/>
      <c r="B853" s="9"/>
      <c r="C853" s="9"/>
      <c r="D853" s="9"/>
      <c r="E853" s="9"/>
    </row>
    <row r="854" ht="15.75" customHeight="1" spans="1:5">
      <c r="A854" s="9"/>
      <c r="B854" s="9"/>
      <c r="C854" s="9"/>
      <c r="D854" s="9"/>
      <c r="E854" s="9"/>
    </row>
    <row r="855" ht="15.75" customHeight="1" spans="1:5">
      <c r="A855" s="9"/>
      <c r="B855" s="9"/>
      <c r="C855" s="9"/>
      <c r="D855" s="9"/>
      <c r="E855" s="9"/>
    </row>
    <row r="856" ht="15.75" customHeight="1" spans="1:5">
      <c r="A856" s="9"/>
      <c r="B856" s="9"/>
      <c r="C856" s="9"/>
      <c r="D856" s="9"/>
      <c r="E856" s="9"/>
    </row>
    <row r="857" ht="15.75" customHeight="1" spans="1:5">
      <c r="A857" s="9"/>
      <c r="B857" s="9"/>
      <c r="C857" s="9"/>
      <c r="D857" s="9"/>
      <c r="E857" s="9"/>
    </row>
    <row r="858" ht="15.75" customHeight="1" spans="1:5">
      <c r="A858" s="9"/>
      <c r="B858" s="9"/>
      <c r="C858" s="9"/>
      <c r="D858" s="9"/>
      <c r="E858" s="9"/>
    </row>
    <row r="859" ht="15.75" customHeight="1" spans="1:5">
      <c r="A859" s="9"/>
      <c r="B859" s="9"/>
      <c r="C859" s="9"/>
      <c r="D859" s="9"/>
      <c r="E859" s="9"/>
    </row>
    <row r="860" ht="15.75" customHeight="1" spans="1:5">
      <c r="A860" s="9"/>
      <c r="B860" s="9"/>
      <c r="C860" s="9"/>
      <c r="D860" s="9"/>
      <c r="E860" s="9"/>
    </row>
    <row r="861" ht="15.75" customHeight="1" spans="1:5">
      <c r="A861" s="9"/>
      <c r="B861" s="9"/>
      <c r="C861" s="9"/>
      <c r="D861" s="9"/>
      <c r="E861" s="9"/>
    </row>
    <row r="862" ht="15.75" customHeight="1" spans="1:5">
      <c r="A862" s="9"/>
      <c r="B862" s="9"/>
      <c r="C862" s="9"/>
      <c r="D862" s="9"/>
      <c r="E862" s="9"/>
    </row>
    <row r="863" ht="15.75" customHeight="1" spans="1:5">
      <c r="A863" s="9"/>
      <c r="B863" s="9"/>
      <c r="C863" s="9"/>
      <c r="D863" s="9"/>
      <c r="E863" s="9"/>
    </row>
    <row r="864" ht="15.75" customHeight="1" spans="1:5">
      <c r="A864" s="9"/>
      <c r="B864" s="9"/>
      <c r="C864" s="9"/>
      <c r="D864" s="9"/>
      <c r="E864" s="9"/>
    </row>
    <row r="865" ht="15.75" customHeight="1" spans="1:5">
      <c r="A865" s="9"/>
      <c r="B865" s="9"/>
      <c r="C865" s="9"/>
      <c r="D865" s="9"/>
      <c r="E865" s="9"/>
    </row>
    <row r="866" ht="15.75" customHeight="1" spans="1:5">
      <c r="A866" s="9"/>
      <c r="B866" s="9"/>
      <c r="C866" s="9"/>
      <c r="D866" s="9"/>
      <c r="E866" s="9"/>
    </row>
    <row r="867" ht="15.75" customHeight="1" spans="1:5">
      <c r="A867" s="9"/>
      <c r="B867" s="9"/>
      <c r="C867" s="9"/>
      <c r="D867" s="9"/>
      <c r="E867" s="9"/>
    </row>
    <row r="868" ht="15.75" customHeight="1" spans="1:5">
      <c r="A868" s="9"/>
      <c r="B868" s="9"/>
      <c r="C868" s="9"/>
      <c r="D868" s="9"/>
      <c r="E868" s="9"/>
    </row>
    <row r="869" ht="15.75" customHeight="1" spans="1:5">
      <c r="A869" s="9"/>
      <c r="B869" s="9"/>
      <c r="C869" s="9"/>
      <c r="D869" s="9"/>
      <c r="E869" s="9"/>
    </row>
    <row r="870" ht="15.75" customHeight="1" spans="1:5">
      <c r="A870" s="9"/>
      <c r="B870" s="9"/>
      <c r="C870" s="9"/>
      <c r="D870" s="9"/>
      <c r="E870" s="9"/>
    </row>
    <row r="871" ht="15.75" customHeight="1" spans="1:5">
      <c r="A871" s="9"/>
      <c r="B871" s="9"/>
      <c r="C871" s="9"/>
      <c r="D871" s="9"/>
      <c r="E871" s="9"/>
    </row>
    <row r="872" ht="15.75" customHeight="1" spans="1:5">
      <c r="A872" s="9"/>
      <c r="B872" s="9"/>
      <c r="C872" s="9"/>
      <c r="D872" s="9"/>
      <c r="E872" s="9"/>
    </row>
    <row r="873" ht="15.75" customHeight="1" spans="1:5">
      <c r="A873" s="9"/>
      <c r="B873" s="9"/>
      <c r="C873" s="9"/>
      <c r="D873" s="9"/>
      <c r="E873" s="9"/>
    </row>
    <row r="874" ht="15.75" customHeight="1" spans="1:5">
      <c r="A874" s="9"/>
      <c r="B874" s="9"/>
      <c r="C874" s="9"/>
      <c r="D874" s="9"/>
      <c r="E874" s="9"/>
    </row>
    <row r="875" ht="15.75" customHeight="1" spans="1:5">
      <c r="A875" s="9"/>
      <c r="B875" s="9"/>
      <c r="C875" s="9"/>
      <c r="D875" s="9"/>
      <c r="E875" s="9"/>
    </row>
    <row r="876" ht="15.75" customHeight="1" spans="1:5">
      <c r="A876" s="9"/>
      <c r="B876" s="9"/>
      <c r="C876" s="9"/>
      <c r="D876" s="9"/>
      <c r="E876" s="9"/>
    </row>
    <row r="877" ht="15.75" customHeight="1" spans="1:5">
      <c r="A877" s="9"/>
      <c r="B877" s="9"/>
      <c r="C877" s="9"/>
      <c r="D877" s="9"/>
      <c r="E877" s="9"/>
    </row>
    <row r="878" ht="15.75" customHeight="1" spans="1:5">
      <c r="A878" s="9"/>
      <c r="B878" s="9"/>
      <c r="C878" s="9"/>
      <c r="D878" s="9"/>
      <c r="E878" s="9"/>
    </row>
    <row r="879" ht="15.75" customHeight="1" spans="1:5">
      <c r="A879" s="9"/>
      <c r="B879" s="9"/>
      <c r="C879" s="9"/>
      <c r="D879" s="9"/>
      <c r="E879" s="9"/>
    </row>
    <row r="880" ht="15.75" customHeight="1" spans="1:5">
      <c r="A880" s="9"/>
      <c r="B880" s="9"/>
      <c r="C880" s="9"/>
      <c r="D880" s="9"/>
      <c r="E880" s="9"/>
    </row>
    <row r="881" ht="15.75" customHeight="1" spans="1:5">
      <c r="A881" s="9"/>
      <c r="B881" s="9"/>
      <c r="C881" s="9"/>
      <c r="D881" s="9"/>
      <c r="E881" s="9"/>
    </row>
    <row r="882" ht="15.75" customHeight="1" spans="1:5">
      <c r="A882" s="9"/>
      <c r="B882" s="9"/>
      <c r="C882" s="9"/>
      <c r="D882" s="9"/>
      <c r="E882" s="9"/>
    </row>
    <row r="883" ht="15.75" customHeight="1" spans="1:5">
      <c r="A883" s="9"/>
      <c r="B883" s="9"/>
      <c r="C883" s="9"/>
      <c r="D883" s="9"/>
      <c r="E883" s="9"/>
    </row>
    <row r="884" ht="15.75" customHeight="1" spans="1:5">
      <c r="A884" s="9"/>
      <c r="B884" s="9"/>
      <c r="C884" s="9"/>
      <c r="D884" s="9"/>
      <c r="E884" s="9"/>
    </row>
    <row r="885" ht="15.75" customHeight="1" spans="1:5">
      <c r="A885" s="9"/>
      <c r="B885" s="9"/>
      <c r="C885" s="9"/>
      <c r="D885" s="9"/>
      <c r="E885" s="9"/>
    </row>
    <row r="886" ht="15.75" customHeight="1" spans="1:5">
      <c r="A886" s="9"/>
      <c r="B886" s="9"/>
      <c r="C886" s="9"/>
      <c r="D886" s="9"/>
      <c r="E886" s="9"/>
    </row>
    <row r="887" ht="15.75" customHeight="1" spans="1:5">
      <c r="A887" s="9"/>
      <c r="B887" s="9"/>
      <c r="C887" s="9"/>
      <c r="D887" s="9"/>
      <c r="E887" s="9"/>
    </row>
    <row r="888" ht="15.75" customHeight="1" spans="1:5">
      <c r="A888" s="9"/>
      <c r="B888" s="9"/>
      <c r="C888" s="9"/>
      <c r="D888" s="9"/>
      <c r="E888" s="9"/>
    </row>
    <row r="889" ht="15.75" customHeight="1" spans="1:5">
      <c r="A889" s="9"/>
      <c r="B889" s="9"/>
      <c r="C889" s="9"/>
      <c r="D889" s="9"/>
      <c r="E889" s="9"/>
    </row>
    <row r="890" ht="15.75" customHeight="1" spans="1:5">
      <c r="A890" s="9"/>
      <c r="B890" s="9"/>
      <c r="C890" s="9"/>
      <c r="D890" s="9"/>
      <c r="E890" s="9"/>
    </row>
    <row r="891" ht="15.75" customHeight="1" spans="1:5">
      <c r="A891" s="9"/>
      <c r="B891" s="9"/>
      <c r="C891" s="9"/>
      <c r="D891" s="9"/>
      <c r="E891" s="9"/>
    </row>
    <row r="892" ht="15.75" customHeight="1" spans="1:5">
      <c r="A892" s="9"/>
      <c r="B892" s="9"/>
      <c r="C892" s="9"/>
      <c r="D892" s="9"/>
      <c r="E892" s="9"/>
    </row>
    <row r="893" ht="15.75" customHeight="1" spans="1:5">
      <c r="A893" s="9"/>
      <c r="B893" s="9"/>
      <c r="C893" s="9"/>
      <c r="D893" s="9"/>
      <c r="E893" s="9"/>
    </row>
    <row r="894" ht="15.75" customHeight="1" spans="1:5">
      <c r="A894" s="9"/>
      <c r="B894" s="9"/>
      <c r="C894" s="9"/>
      <c r="D894" s="9"/>
      <c r="E894" s="9"/>
    </row>
    <row r="895" ht="15.75" customHeight="1" spans="1:5">
      <c r="A895" s="9"/>
      <c r="B895" s="9"/>
      <c r="C895" s="9"/>
      <c r="D895" s="9"/>
      <c r="E895" s="9"/>
    </row>
    <row r="896" ht="15.75" customHeight="1" spans="1:5">
      <c r="A896" s="9"/>
      <c r="B896" s="9"/>
      <c r="C896" s="9"/>
      <c r="D896" s="9"/>
      <c r="E896" s="9"/>
    </row>
    <row r="897" ht="15.75" customHeight="1" spans="1:5">
      <c r="A897" s="9"/>
      <c r="B897" s="9"/>
      <c r="C897" s="9"/>
      <c r="D897" s="9"/>
      <c r="E897" s="9"/>
    </row>
    <row r="898" ht="15.75" customHeight="1" spans="1:5">
      <c r="A898" s="9"/>
      <c r="B898" s="9"/>
      <c r="C898" s="9"/>
      <c r="D898" s="9"/>
      <c r="E898" s="9"/>
    </row>
    <row r="899" ht="15.75" customHeight="1" spans="1:5">
      <c r="A899" s="9"/>
      <c r="B899" s="9"/>
      <c r="C899" s="9"/>
      <c r="D899" s="9"/>
      <c r="E899" s="9"/>
    </row>
    <row r="900" ht="15.75" customHeight="1" spans="1:5">
      <c r="A900" s="9"/>
      <c r="B900" s="9"/>
      <c r="C900" s="9"/>
      <c r="D900" s="9"/>
      <c r="E900" s="9"/>
    </row>
    <row r="901" ht="15.75" customHeight="1" spans="1:5">
      <c r="A901" s="9"/>
      <c r="B901" s="9"/>
      <c r="C901" s="9"/>
      <c r="D901" s="9"/>
      <c r="E901" s="9"/>
    </row>
    <row r="902" ht="15.75" customHeight="1" spans="1:5">
      <c r="A902" s="9"/>
      <c r="B902" s="9"/>
      <c r="C902" s="9"/>
      <c r="D902" s="9"/>
      <c r="E902" s="9"/>
    </row>
    <row r="903" ht="15.75" customHeight="1" spans="1:5">
      <c r="A903" s="9"/>
      <c r="B903" s="9"/>
      <c r="C903" s="9"/>
      <c r="D903" s="9"/>
      <c r="E903" s="9"/>
    </row>
    <row r="904" ht="15.75" customHeight="1" spans="1:5">
      <c r="A904" s="9"/>
      <c r="B904" s="9"/>
      <c r="C904" s="9"/>
      <c r="D904" s="9"/>
      <c r="E904" s="9"/>
    </row>
    <row r="905" ht="15.75" customHeight="1" spans="1:5">
      <c r="A905" s="9"/>
      <c r="B905" s="9"/>
      <c r="C905" s="9"/>
      <c r="D905" s="9"/>
      <c r="E905" s="9"/>
    </row>
    <row r="906" ht="15.75" customHeight="1" spans="1:5">
      <c r="A906" s="9"/>
      <c r="B906" s="9"/>
      <c r="C906" s="9"/>
      <c r="D906" s="9"/>
      <c r="E906" s="9"/>
    </row>
    <row r="907" ht="15.75" customHeight="1" spans="1:5">
      <c r="A907" s="9"/>
      <c r="B907" s="9"/>
      <c r="C907" s="9"/>
      <c r="D907" s="9"/>
      <c r="E907" s="9"/>
    </row>
    <row r="908" ht="15.75" customHeight="1" spans="1:5">
      <c r="A908" s="9"/>
      <c r="B908" s="9"/>
      <c r="C908" s="9"/>
      <c r="D908" s="9"/>
      <c r="E908" s="9"/>
    </row>
    <row r="909" ht="15.75" customHeight="1" spans="1:5">
      <c r="A909" s="9"/>
      <c r="B909" s="9"/>
      <c r="C909" s="9"/>
      <c r="D909" s="9"/>
      <c r="E909" s="9"/>
    </row>
    <row r="910" ht="15.75" customHeight="1" spans="1:5">
      <c r="A910" s="9"/>
      <c r="B910" s="9"/>
      <c r="C910" s="9"/>
      <c r="D910" s="9"/>
      <c r="E910" s="9"/>
    </row>
    <row r="911" ht="15.75" customHeight="1" spans="1:5">
      <c r="A911" s="9"/>
      <c r="B911" s="9"/>
      <c r="C911" s="9"/>
      <c r="D911" s="9"/>
      <c r="E911" s="9"/>
    </row>
    <row r="912" ht="15.75" customHeight="1" spans="1:5">
      <c r="A912" s="9"/>
      <c r="B912" s="9"/>
      <c r="C912" s="9"/>
      <c r="D912" s="9"/>
      <c r="E912" s="9"/>
    </row>
    <row r="913" ht="15.75" customHeight="1" spans="1:5">
      <c r="A913" s="9"/>
      <c r="B913" s="9"/>
      <c r="C913" s="9"/>
      <c r="D913" s="9"/>
      <c r="E913" s="9"/>
    </row>
    <row r="914" ht="15.75" customHeight="1" spans="1:5">
      <c r="A914" s="9"/>
      <c r="B914" s="9"/>
      <c r="C914" s="9"/>
      <c r="D914" s="9"/>
      <c r="E914" s="9"/>
    </row>
    <row r="915" ht="15.75" customHeight="1" spans="1:5">
      <c r="A915" s="9"/>
      <c r="B915" s="9"/>
      <c r="C915" s="9"/>
      <c r="D915" s="9"/>
      <c r="E915" s="9"/>
    </row>
    <row r="916" ht="15.75" customHeight="1" spans="1:5">
      <c r="A916" s="9"/>
      <c r="B916" s="9"/>
      <c r="C916" s="9"/>
      <c r="D916" s="9"/>
      <c r="E916" s="9"/>
    </row>
    <row r="917" ht="15.75" customHeight="1" spans="1:5">
      <c r="A917" s="9"/>
      <c r="B917" s="9"/>
      <c r="C917" s="9"/>
      <c r="D917" s="9"/>
      <c r="E917" s="9"/>
    </row>
    <row r="918" ht="15.75" customHeight="1" spans="1:5">
      <c r="A918" s="9"/>
      <c r="B918" s="9"/>
      <c r="C918" s="9"/>
      <c r="D918" s="9"/>
      <c r="E918" s="9"/>
    </row>
    <row r="919" ht="15.75" customHeight="1" spans="1:5">
      <c r="A919" s="9"/>
      <c r="B919" s="9"/>
      <c r="C919" s="9"/>
      <c r="D919" s="9"/>
      <c r="E919" s="9"/>
    </row>
    <row r="920" ht="15.75" customHeight="1" spans="1:5">
      <c r="A920" s="9"/>
      <c r="B920" s="9"/>
      <c r="C920" s="9"/>
      <c r="D920" s="9"/>
      <c r="E920" s="9"/>
    </row>
    <row r="921" ht="15.75" customHeight="1" spans="1:5">
      <c r="A921" s="9"/>
      <c r="B921" s="9"/>
      <c r="C921" s="9"/>
      <c r="D921" s="9"/>
      <c r="E921" s="9"/>
    </row>
    <row r="922" ht="15.75" customHeight="1" spans="1:5">
      <c r="A922" s="9"/>
      <c r="B922" s="9"/>
      <c r="C922" s="9"/>
      <c r="D922" s="9"/>
      <c r="E922" s="9"/>
    </row>
    <row r="923" ht="15.75" customHeight="1" spans="1:5">
      <c r="A923" s="9"/>
      <c r="B923" s="9"/>
      <c r="C923" s="9"/>
      <c r="D923" s="9"/>
      <c r="E923" s="9"/>
    </row>
    <row r="924" ht="15.75" customHeight="1" spans="1:5">
      <c r="A924" s="9"/>
      <c r="B924" s="9"/>
      <c r="C924" s="9"/>
      <c r="D924" s="9"/>
      <c r="E924" s="9"/>
    </row>
    <row r="925" ht="15.75" customHeight="1" spans="1:5">
      <c r="A925" s="9"/>
      <c r="B925" s="9"/>
      <c r="C925" s="9"/>
      <c r="D925" s="9"/>
      <c r="E925" s="9"/>
    </row>
    <row r="926" ht="15.75" customHeight="1" spans="1:5">
      <c r="A926" s="9"/>
      <c r="B926" s="9"/>
      <c r="C926" s="9"/>
      <c r="D926" s="9"/>
      <c r="E926" s="9"/>
    </row>
    <row r="927" ht="15.75" customHeight="1" spans="1:5">
      <c r="A927" s="9"/>
      <c r="B927" s="9"/>
      <c r="C927" s="9"/>
      <c r="D927" s="9"/>
      <c r="E927" s="9"/>
    </row>
    <row r="928" ht="15.75" customHeight="1" spans="1:5">
      <c r="A928" s="9"/>
      <c r="B928" s="9"/>
      <c r="C928" s="9"/>
      <c r="D928" s="9"/>
      <c r="E928" s="9"/>
    </row>
    <row r="929" ht="15.75" customHeight="1" spans="1:5">
      <c r="A929" s="9"/>
      <c r="B929" s="9"/>
      <c r="C929" s="9"/>
      <c r="D929" s="9"/>
      <c r="E929" s="9"/>
    </row>
    <row r="930" ht="15.75" customHeight="1" spans="1:5">
      <c r="A930" s="9"/>
      <c r="B930" s="9"/>
      <c r="C930" s="9"/>
      <c r="D930" s="9"/>
      <c r="E930" s="9"/>
    </row>
    <row r="931" ht="15.75" customHeight="1" spans="1:5">
      <c r="A931" s="9"/>
      <c r="B931" s="9"/>
      <c r="C931" s="9"/>
      <c r="D931" s="9"/>
      <c r="E931" s="9"/>
    </row>
    <row r="932" ht="15.75" customHeight="1" spans="1:5">
      <c r="A932" s="9"/>
      <c r="B932" s="9"/>
      <c r="C932" s="9"/>
      <c r="D932" s="9"/>
      <c r="E932" s="9"/>
    </row>
    <row r="933" ht="15.75" customHeight="1" spans="1:5">
      <c r="A933" s="9"/>
      <c r="B933" s="9"/>
      <c r="C933" s="9"/>
      <c r="D933" s="9"/>
      <c r="E933" s="9"/>
    </row>
    <row r="934" ht="15.75" customHeight="1" spans="1:5">
      <c r="A934" s="9"/>
      <c r="B934" s="9"/>
      <c r="C934" s="9"/>
      <c r="D934" s="9"/>
      <c r="E934" s="9"/>
    </row>
    <row r="935" ht="15.75" customHeight="1" spans="1:5">
      <c r="A935" s="9"/>
      <c r="B935" s="9"/>
      <c r="C935" s="9"/>
      <c r="D935" s="9"/>
      <c r="E935" s="9"/>
    </row>
    <row r="936" ht="15.75" customHeight="1" spans="1:5">
      <c r="A936" s="9"/>
      <c r="B936" s="9"/>
      <c r="C936" s="9"/>
      <c r="D936" s="9"/>
      <c r="E936" s="9"/>
    </row>
    <row r="937" ht="15.75" customHeight="1" spans="1:5">
      <c r="A937" s="9"/>
      <c r="B937" s="9"/>
      <c r="C937" s="9"/>
      <c r="D937" s="9"/>
      <c r="E937" s="9"/>
    </row>
    <row r="938" ht="15.75" customHeight="1" spans="1:5">
      <c r="A938" s="9"/>
      <c r="B938" s="9"/>
      <c r="C938" s="9"/>
      <c r="D938" s="9"/>
      <c r="E938" s="9"/>
    </row>
    <row r="939" ht="15.75" customHeight="1" spans="1:5">
      <c r="A939" s="9"/>
      <c r="B939" s="9"/>
      <c r="C939" s="9"/>
      <c r="D939" s="9"/>
      <c r="E939" s="9"/>
    </row>
    <row r="940" ht="15.75" customHeight="1" spans="1:5">
      <c r="A940" s="9"/>
      <c r="B940" s="9"/>
      <c r="C940" s="9"/>
      <c r="D940" s="9"/>
      <c r="E940" s="9"/>
    </row>
    <row r="941" ht="15.75" customHeight="1" spans="1:5">
      <c r="A941" s="9"/>
      <c r="B941" s="9"/>
      <c r="C941" s="9"/>
      <c r="D941" s="9"/>
      <c r="E941" s="9"/>
    </row>
    <row r="942" ht="15.75" customHeight="1" spans="1:5">
      <c r="A942" s="9"/>
      <c r="B942" s="9"/>
      <c r="C942" s="9"/>
      <c r="D942" s="9"/>
      <c r="E942" s="9"/>
    </row>
    <row r="943" ht="15.75" customHeight="1" spans="1:5">
      <c r="A943" s="9"/>
      <c r="B943" s="9"/>
      <c r="C943" s="9"/>
      <c r="D943" s="9"/>
      <c r="E943" s="9"/>
    </row>
    <row r="944" ht="15.75" customHeight="1" spans="1:5">
      <c r="A944" s="9"/>
      <c r="B944" s="9"/>
      <c r="C944" s="9"/>
      <c r="D944" s="9"/>
      <c r="E944" s="9"/>
    </row>
    <row r="945" ht="15.75" customHeight="1" spans="1:5">
      <c r="A945" s="9"/>
      <c r="B945" s="9"/>
      <c r="C945" s="9"/>
      <c r="D945" s="9"/>
      <c r="E945" s="9"/>
    </row>
    <row r="946" ht="15.75" customHeight="1" spans="1:5">
      <c r="A946" s="9"/>
      <c r="B946" s="9"/>
      <c r="C946" s="9"/>
      <c r="D946" s="9"/>
      <c r="E946" s="9"/>
    </row>
    <row r="947" ht="15.75" customHeight="1" spans="1:5">
      <c r="A947" s="9"/>
      <c r="B947" s="9"/>
      <c r="C947" s="9"/>
      <c r="D947" s="9"/>
      <c r="E947" s="9"/>
    </row>
    <row r="948" ht="15.75" customHeight="1" spans="1:5">
      <c r="A948" s="9"/>
      <c r="B948" s="9"/>
      <c r="C948" s="9"/>
      <c r="D948" s="9"/>
      <c r="E948" s="9"/>
    </row>
    <row r="949" ht="15.75" customHeight="1" spans="1:5">
      <c r="A949" s="9"/>
      <c r="B949" s="9"/>
      <c r="C949" s="9"/>
      <c r="D949" s="9"/>
      <c r="E949" s="9"/>
    </row>
    <row r="950" ht="15.75" customHeight="1" spans="1:5">
      <c r="A950" s="9"/>
      <c r="B950" s="9"/>
      <c r="C950" s="9"/>
      <c r="D950" s="9"/>
      <c r="E950" s="9"/>
    </row>
    <row r="951" ht="15.75" customHeight="1" spans="1:5">
      <c r="A951" s="9"/>
      <c r="B951" s="9"/>
      <c r="C951" s="9"/>
      <c r="D951" s="9"/>
      <c r="E951" s="9"/>
    </row>
    <row r="952" ht="15.75" customHeight="1" spans="1:5">
      <c r="A952" s="9"/>
      <c r="B952" s="9"/>
      <c r="C952" s="9"/>
      <c r="D952" s="9"/>
      <c r="E952" s="9"/>
    </row>
    <row r="953" ht="15.75" customHeight="1" spans="1:5">
      <c r="A953" s="9"/>
      <c r="B953" s="9"/>
      <c r="C953" s="9"/>
      <c r="D953" s="9"/>
      <c r="E953" s="9"/>
    </row>
    <row r="954" ht="15.75" customHeight="1" spans="1:5">
      <c r="A954" s="9"/>
      <c r="B954" s="9"/>
      <c r="C954" s="9"/>
      <c r="D954" s="9"/>
      <c r="E954" s="9"/>
    </row>
    <row r="955" ht="15.75" customHeight="1" spans="1:5">
      <c r="A955" s="9"/>
      <c r="B955" s="9"/>
      <c r="C955" s="9"/>
      <c r="D955" s="9"/>
      <c r="E955" s="9"/>
    </row>
    <row r="956" ht="15.75" customHeight="1" spans="1:5">
      <c r="A956" s="9"/>
      <c r="B956" s="9"/>
      <c r="C956" s="9"/>
      <c r="D956" s="9"/>
      <c r="E956" s="9"/>
    </row>
    <row r="957" ht="15.75" customHeight="1" spans="1:5">
      <c r="A957" s="9"/>
      <c r="B957" s="9"/>
      <c r="C957" s="9"/>
      <c r="D957" s="9"/>
      <c r="E957" s="9"/>
    </row>
    <row r="958" ht="15.75" customHeight="1" spans="1:5">
      <c r="A958" s="9"/>
      <c r="B958" s="9"/>
      <c r="C958" s="9"/>
      <c r="D958" s="9"/>
      <c r="E958" s="9"/>
    </row>
    <row r="959" ht="15.75" customHeight="1" spans="1:5">
      <c r="A959" s="9"/>
      <c r="B959" s="9"/>
      <c r="C959" s="9"/>
      <c r="D959" s="9"/>
      <c r="E959" s="9"/>
    </row>
    <row r="960" ht="15.75" customHeight="1" spans="1:5">
      <c r="A960" s="9"/>
      <c r="B960" s="9"/>
      <c r="C960" s="9"/>
      <c r="D960" s="9"/>
      <c r="E960" s="9"/>
    </row>
    <row r="961" ht="15.75" customHeight="1" spans="1:5">
      <c r="A961" s="9"/>
      <c r="B961" s="9"/>
      <c r="C961" s="9"/>
      <c r="D961" s="9"/>
      <c r="E961" s="9"/>
    </row>
    <row r="962" ht="15.75" customHeight="1" spans="1:5">
      <c r="A962" s="9"/>
      <c r="B962" s="9"/>
      <c r="C962" s="9"/>
      <c r="D962" s="9"/>
      <c r="E962" s="9"/>
    </row>
    <row r="963" ht="15.75" customHeight="1" spans="1:5">
      <c r="A963" s="9"/>
      <c r="B963" s="9"/>
      <c r="C963" s="9"/>
      <c r="D963" s="9"/>
      <c r="E963" s="9"/>
    </row>
    <row r="964" ht="15.75" customHeight="1" spans="1:5">
      <c r="A964" s="9"/>
      <c r="B964" s="9"/>
      <c r="C964" s="9"/>
      <c r="D964" s="9"/>
      <c r="E964" s="9"/>
    </row>
    <row r="965" ht="15.75" customHeight="1" spans="1:5">
      <c r="A965" s="9"/>
      <c r="B965" s="9"/>
      <c r="C965" s="9"/>
      <c r="D965" s="9"/>
      <c r="E965" s="9"/>
    </row>
    <row r="966" ht="15.75" customHeight="1" spans="1:5">
      <c r="A966" s="9"/>
      <c r="B966" s="9"/>
      <c r="C966" s="9"/>
      <c r="D966" s="9"/>
      <c r="E966" s="9"/>
    </row>
    <row r="967" ht="15.75" customHeight="1" spans="1:5">
      <c r="A967" s="9"/>
      <c r="B967" s="9"/>
      <c r="C967" s="9"/>
      <c r="D967" s="9"/>
      <c r="E967" s="9"/>
    </row>
    <row r="968" ht="15.75" customHeight="1" spans="1:5">
      <c r="A968" s="9"/>
      <c r="B968" s="9"/>
      <c r="C968" s="9"/>
      <c r="D968" s="9"/>
      <c r="E968" s="9"/>
    </row>
    <row r="969" ht="15.75" customHeight="1" spans="1:5">
      <c r="A969" s="9"/>
      <c r="B969" s="9"/>
      <c r="C969" s="9"/>
      <c r="D969" s="9"/>
      <c r="E969" s="9"/>
    </row>
    <row r="970" ht="15.75" customHeight="1" spans="1:5">
      <c r="A970" s="9"/>
      <c r="B970" s="9"/>
      <c r="C970" s="9"/>
      <c r="D970" s="9"/>
      <c r="E970" s="9"/>
    </row>
    <row r="971" ht="15.75" customHeight="1" spans="1:5">
      <c r="A971" s="9"/>
      <c r="B971" s="9"/>
      <c r="C971" s="9"/>
      <c r="D971" s="9"/>
      <c r="E971" s="9"/>
    </row>
    <row r="972" ht="15.75" customHeight="1" spans="1:5">
      <c r="A972" s="9"/>
      <c r="B972" s="9"/>
      <c r="C972" s="9"/>
      <c r="D972" s="9"/>
      <c r="E972" s="9"/>
    </row>
    <row r="973" ht="15.75" customHeight="1" spans="1:5">
      <c r="A973" s="9"/>
      <c r="B973" s="9"/>
      <c r="C973" s="9"/>
      <c r="D973" s="9"/>
      <c r="E973" s="9"/>
    </row>
    <row r="974" ht="15.75" customHeight="1" spans="1:5">
      <c r="A974" s="9"/>
      <c r="B974" s="9"/>
      <c r="C974" s="9"/>
      <c r="D974" s="9"/>
      <c r="E974" s="9"/>
    </row>
    <row r="975" ht="15.75" customHeight="1" spans="1:5">
      <c r="A975" s="9"/>
      <c r="B975" s="9"/>
      <c r="C975" s="9"/>
      <c r="D975" s="9"/>
      <c r="E975" s="9"/>
    </row>
    <row r="976" ht="15.75" customHeight="1" spans="1:5">
      <c r="A976" s="9"/>
      <c r="B976" s="9"/>
      <c r="C976" s="9"/>
      <c r="D976" s="9"/>
      <c r="E976" s="9"/>
    </row>
    <row r="977" ht="15.75" customHeight="1" spans="1:5">
      <c r="A977" s="9"/>
      <c r="B977" s="9"/>
      <c r="C977" s="9"/>
      <c r="D977" s="9"/>
      <c r="E977" s="9"/>
    </row>
    <row r="978" ht="15.75" customHeight="1" spans="1:5">
      <c r="A978" s="9"/>
      <c r="B978" s="9"/>
      <c r="C978" s="9"/>
      <c r="D978" s="9"/>
      <c r="E978" s="9"/>
    </row>
    <row r="979" ht="15.75" customHeight="1" spans="1:5">
      <c r="A979" s="9"/>
      <c r="B979" s="9"/>
      <c r="C979" s="9"/>
      <c r="D979" s="9"/>
      <c r="E979" s="9"/>
    </row>
    <row r="980" ht="15.75" customHeight="1" spans="1:5">
      <c r="A980" s="9"/>
      <c r="B980" s="9"/>
      <c r="C980" s="9"/>
      <c r="D980" s="9"/>
      <c r="E980" s="9"/>
    </row>
    <row r="981" ht="15.75" customHeight="1" spans="1:5">
      <c r="A981" s="9"/>
      <c r="B981" s="9"/>
      <c r="C981" s="9"/>
      <c r="D981" s="9"/>
      <c r="E981" s="9"/>
    </row>
    <row r="982" ht="15.75" customHeight="1" spans="1:5">
      <c r="A982" s="9"/>
      <c r="B982" s="9"/>
      <c r="C982" s="9"/>
      <c r="D982" s="9"/>
      <c r="E982" s="9"/>
    </row>
    <row r="983" ht="15.75" customHeight="1" spans="1:5">
      <c r="A983" s="9"/>
      <c r="B983" s="9"/>
      <c r="C983" s="9"/>
      <c r="D983" s="9"/>
      <c r="E983" s="9"/>
    </row>
    <row r="984" ht="15.75" customHeight="1" spans="1:5">
      <c r="A984" s="9"/>
      <c r="B984" s="9"/>
      <c r="C984" s="9"/>
      <c r="D984" s="9"/>
      <c r="E984" s="9"/>
    </row>
    <row r="985" ht="15.75" customHeight="1" spans="1:5">
      <c r="A985" s="9"/>
      <c r="B985" s="9"/>
      <c r="C985" s="9"/>
      <c r="D985" s="9"/>
      <c r="E985" s="9"/>
    </row>
    <row r="986" ht="15.75" customHeight="1" spans="1:5">
      <c r="A986" s="9"/>
      <c r="B986" s="9"/>
      <c r="C986" s="9"/>
      <c r="D986" s="9"/>
      <c r="E986" s="9"/>
    </row>
    <row r="987" ht="15.75" customHeight="1" spans="1:5">
      <c r="A987" s="9"/>
      <c r="B987" s="9"/>
      <c r="C987" s="9"/>
      <c r="D987" s="9"/>
      <c r="E987" s="9"/>
    </row>
    <row r="988" ht="15.75" customHeight="1" spans="1:5">
      <c r="A988" s="9"/>
      <c r="B988" s="9"/>
      <c r="C988" s="9"/>
      <c r="D988" s="9"/>
      <c r="E988" s="9"/>
    </row>
    <row r="989" ht="15.75" customHeight="1" spans="1:5">
      <c r="A989" s="9"/>
      <c r="B989" s="9"/>
      <c r="C989" s="9"/>
      <c r="D989" s="9"/>
      <c r="E989" s="9"/>
    </row>
    <row r="990" ht="15.75" customHeight="1" spans="1:5">
      <c r="A990" s="9"/>
      <c r="B990" s="9"/>
      <c r="C990" s="9"/>
      <c r="D990" s="9"/>
      <c r="E990" s="9"/>
    </row>
    <row r="991" ht="15.75" customHeight="1" spans="1:5">
      <c r="A991" s="9"/>
      <c r="B991" s="9"/>
      <c r="C991" s="9"/>
      <c r="D991" s="9"/>
      <c r="E991" s="9"/>
    </row>
    <row r="992" ht="15.75" customHeight="1" spans="1:5">
      <c r="A992" s="9"/>
      <c r="B992" s="9"/>
      <c r="C992" s="9"/>
      <c r="D992" s="9"/>
      <c r="E992" s="9"/>
    </row>
    <row r="993" ht="15.75" customHeight="1" spans="1:5">
      <c r="A993" s="9"/>
      <c r="B993" s="9"/>
      <c r="C993" s="9"/>
      <c r="D993" s="9"/>
      <c r="E993" s="9"/>
    </row>
    <row r="994" ht="15.75" customHeight="1" spans="1:5">
      <c r="A994" s="9"/>
      <c r="B994" s="9"/>
      <c r="C994" s="9"/>
      <c r="D994" s="9"/>
      <c r="E994" s="9"/>
    </row>
    <row r="995" ht="15.75" customHeight="1" spans="1:5">
      <c r="A995" s="9"/>
      <c r="B995" s="9"/>
      <c r="C995" s="9"/>
      <c r="D995" s="9"/>
      <c r="E995" s="9"/>
    </row>
    <row r="996" ht="15.75" customHeight="1" spans="1:5">
      <c r="A996" s="9"/>
      <c r="B996" s="9"/>
      <c r="C996" s="9"/>
      <c r="D996" s="9"/>
      <c r="E996" s="9"/>
    </row>
    <row r="997" ht="15.75" customHeight="1" spans="1:5">
      <c r="A997" s="9"/>
      <c r="B997" s="9"/>
      <c r="C997" s="9"/>
      <c r="D997" s="9"/>
      <c r="E997" s="9"/>
    </row>
    <row r="998" ht="15.75" customHeight="1" spans="1:5">
      <c r="A998" s="9"/>
      <c r="B998" s="9"/>
      <c r="C998" s="9"/>
      <c r="D998" s="9"/>
      <c r="E998" s="9"/>
    </row>
    <row r="999" ht="15.75" customHeight="1" spans="1:5">
      <c r="A999" s="9"/>
      <c r="B999" s="9"/>
      <c r="C999" s="9"/>
      <c r="D999" s="9"/>
      <c r="E999" s="9"/>
    </row>
    <row r="1000" ht="15.75" customHeight="1" spans="1:5">
      <c r="A1000" s="9"/>
      <c r="B1000" s="9"/>
      <c r="C1000" s="9"/>
      <c r="D1000" s="9"/>
      <c r="E1000" s="9"/>
    </row>
  </sheetData>
  <conditionalFormatting sqref="B20:E20">
    <cfRule type="cellIs" dxfId="0" priority="1" operator="notEqual">
      <formula>0</formula>
    </cfRule>
    <cfRule type="cellIs" dxfId="1" priority="2" operator="equal">
      <formula>0</formula>
    </cfRule>
  </conditionalFormatting>
  <pageMargins left="0.75" right="0.75" top="1" bottom="1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workbookViewId="0">
      <selection activeCell="A1" sqref="A1"/>
    </sheetView>
  </sheetViews>
  <sheetFormatPr defaultColWidth="14.4296875" defaultRowHeight="15" customHeight="1"/>
  <cols>
    <col min="1" max="1" width="50" customWidth="1"/>
    <col min="2" max="5" width="13" customWidth="1"/>
    <col min="6" max="26" width="8.7109375" customWidth="1"/>
  </cols>
  <sheetData>
    <row r="1" ht="17.25" customHeight="1" spans="1:13">
      <c r="A1" s="19" t="s">
        <v>28</v>
      </c>
      <c r="B1" s="6"/>
      <c r="C1" s="6"/>
      <c r="D1" s="6"/>
      <c r="E1" s="6"/>
      <c r="F1" s="17"/>
      <c r="G1" s="17"/>
      <c r="H1" s="17"/>
      <c r="I1" s="17"/>
      <c r="J1" s="17"/>
      <c r="K1" s="17"/>
      <c r="L1" s="17"/>
      <c r="M1" s="17"/>
    </row>
    <row r="2" ht="14" spans="1:13">
      <c r="A2" s="6"/>
      <c r="B2" s="6"/>
      <c r="C2" s="6"/>
      <c r="D2" s="6"/>
      <c r="E2" s="6"/>
      <c r="F2" s="17"/>
      <c r="G2" s="17"/>
      <c r="H2" s="17"/>
      <c r="I2" s="17"/>
      <c r="J2" s="17"/>
      <c r="K2" s="17"/>
      <c r="L2" s="17"/>
      <c r="M2" s="17"/>
    </row>
    <row r="3" ht="14" spans="1:13">
      <c r="A3" s="6"/>
      <c r="B3" s="6"/>
      <c r="C3" s="6"/>
      <c r="D3" s="6"/>
      <c r="E3" s="6"/>
      <c r="F3" s="17"/>
      <c r="G3" s="17"/>
      <c r="H3" s="17"/>
      <c r="I3" s="17"/>
      <c r="J3" s="17"/>
      <c r="K3" s="17"/>
      <c r="L3" s="17"/>
      <c r="M3" s="17"/>
    </row>
    <row r="4" customHeight="1" spans="1:13">
      <c r="A4" s="1" t="s">
        <v>29</v>
      </c>
      <c r="B4" s="39">
        <f>PL!B4</f>
        <v>46023</v>
      </c>
      <c r="C4" s="39">
        <f>PL!C4</f>
        <v>46054</v>
      </c>
      <c r="D4" s="39">
        <f>PL!D4</f>
        <v>46082</v>
      </c>
      <c r="E4" s="39">
        <f>PL!E4</f>
        <v>46113</v>
      </c>
      <c r="F4" s="17"/>
      <c r="G4" s="17"/>
      <c r="H4" s="17"/>
      <c r="I4" s="17"/>
      <c r="J4" s="17"/>
      <c r="K4" s="17"/>
      <c r="L4" s="17"/>
      <c r="M4" s="17"/>
    </row>
    <row r="5" customHeight="1" spans="1:13">
      <c r="A5" s="19" t="s">
        <v>30</v>
      </c>
      <c r="B5" s="6"/>
      <c r="C5" s="6"/>
      <c r="D5" s="6"/>
      <c r="E5" s="6"/>
      <c r="F5" s="17"/>
      <c r="G5" s="17"/>
      <c r="H5" s="17"/>
      <c r="I5" s="17"/>
      <c r="J5" s="17"/>
      <c r="K5" s="17"/>
      <c r="L5" s="17"/>
      <c r="M5" s="17"/>
    </row>
    <row r="6" customHeight="1" spans="1:13">
      <c r="A6" s="11" t="s">
        <v>8</v>
      </c>
      <c r="B6" s="21">
        <f>PL!B9</f>
        <v>1700</v>
      </c>
      <c r="C6" s="21">
        <f>PL!C9</f>
        <v>2700</v>
      </c>
      <c r="D6" s="21">
        <f>PL!D9</f>
        <v>7900</v>
      </c>
      <c r="E6" s="21">
        <f>PL!E9</f>
        <v>3900</v>
      </c>
      <c r="F6" s="17"/>
      <c r="G6" s="17"/>
      <c r="H6" s="17"/>
      <c r="I6" s="17"/>
      <c r="J6" s="17"/>
      <c r="K6" s="17"/>
      <c r="L6" s="17"/>
      <c r="M6" s="17"/>
    </row>
    <row r="7" customHeight="1" spans="1:13">
      <c r="A7" s="11" t="s">
        <v>31</v>
      </c>
      <c r="B7" s="21">
        <f>-(SUMIFS(Ledger!$D$2:$D$500,Ledger!$B$2:$B$500,1100,Ledger!$I$2:$I$500,B$4)-SUMIFS(Ledger!$E$2:$E$500,Ledger!$B$2:$B$500,1100,Ledger!$I$2:$I$500,B$4))</f>
        <v>0</v>
      </c>
      <c r="C7" s="21">
        <f>-(SUMIFS(Ledger!$D$2:$D$500,Ledger!$B$2:$B$500,1100,Ledger!$I$2:$I$500,C$4)-SUMIFS(Ledger!$E$2:$E$500,Ledger!$B$2:$B$500,1100,Ledger!$I$2:$I$500,C$4))</f>
        <v>0</v>
      </c>
      <c r="D7" s="21">
        <f>-(SUMIFS(Ledger!$D$2:$D$500,Ledger!$B$2:$B$500,1100,Ledger!$I$2:$I$500,D$4)-SUMIFS(Ledger!$E$2:$E$500,Ledger!$B$2:$B$500,1100,Ledger!$I$2:$I$500,D$4))</f>
        <v>-5000</v>
      </c>
      <c r="E7" s="21">
        <f>-(SUMIFS(Ledger!$D$2:$D$500,Ledger!$B$2:$B$500,1100,Ledger!$I$2:$I$500,E$4)-SUMIFS(Ledger!$E$2:$E$500,Ledger!$B$2:$B$500,1100,Ledger!$I$2:$I$500,E$4))</f>
        <v>3000</v>
      </c>
      <c r="F7" s="17"/>
      <c r="G7" s="17"/>
      <c r="H7" s="17"/>
      <c r="I7" s="17"/>
      <c r="J7" s="17"/>
      <c r="K7" s="17"/>
      <c r="L7" s="17"/>
      <c r="M7" s="17"/>
    </row>
    <row r="8" customHeight="1" spans="1:13">
      <c r="A8" s="11" t="s">
        <v>32</v>
      </c>
      <c r="B8" s="21">
        <f>SUMIFS(Ledger!$E$2:$E$500,Ledger!$B$2:$B$500,2000,Ledger!$I$2:$I$500,B$4)-SUMIFS(Ledger!$D$2:$D$500,Ledger!$B$2:$B$500,2000,Ledger!$I$2:$I$500,B$4)</f>
        <v>0</v>
      </c>
      <c r="C8" s="21">
        <f>SUMIFS(Ledger!$E$2:$E$500,Ledger!$B$2:$B$500,2000,Ledger!$I$2:$I$500,C$4)-SUMIFS(Ledger!$D$2:$D$500,Ledger!$B$2:$B$500,2000,Ledger!$I$2:$I$500,C$4)</f>
        <v>0</v>
      </c>
      <c r="D8" s="21">
        <f>SUMIFS(Ledger!$E$2:$E$500,Ledger!$B$2:$B$500,2000,Ledger!$I$2:$I$500,D$4)-SUMIFS(Ledger!$D$2:$D$500,Ledger!$B$2:$B$500,2000,Ledger!$I$2:$I$500,D$4)</f>
        <v>1200</v>
      </c>
      <c r="E8" s="21">
        <f>SUMIFS(Ledger!$E$2:$E$500,Ledger!$B$2:$B$500,2000,Ledger!$I$2:$I$500,E$4)-SUMIFS(Ledger!$D$2:$D$500,Ledger!$B$2:$B$500,2000,Ledger!$I$2:$I$500,E$4)</f>
        <v>-700</v>
      </c>
      <c r="F8" s="17"/>
      <c r="G8" s="17"/>
      <c r="H8" s="17"/>
      <c r="I8" s="17"/>
      <c r="J8" s="17"/>
      <c r="K8" s="17"/>
      <c r="L8" s="17"/>
      <c r="M8" s="17"/>
    </row>
    <row r="9" customHeight="1" spans="1:13">
      <c r="A9" s="45" t="s">
        <v>33</v>
      </c>
      <c r="B9" s="27">
        <f t="shared" ref="B9:E9" si="0">SUM(B6:B8)</f>
        <v>1700</v>
      </c>
      <c r="C9" s="27">
        <f t="shared" si="0"/>
        <v>2700</v>
      </c>
      <c r="D9" s="27">
        <f t="shared" si="0"/>
        <v>4100</v>
      </c>
      <c r="E9" s="27">
        <f t="shared" si="0"/>
        <v>6200</v>
      </c>
      <c r="F9" s="17"/>
      <c r="G9" s="17"/>
      <c r="H9" s="17"/>
      <c r="I9" s="17"/>
      <c r="J9" s="17"/>
      <c r="K9" s="17"/>
      <c r="L9" s="17"/>
      <c r="M9" s="17"/>
    </row>
    <row r="10" ht="14" spans="1:13">
      <c r="A10" s="6"/>
      <c r="B10" s="6"/>
      <c r="C10" s="6"/>
      <c r="D10" s="6"/>
      <c r="E10" s="6"/>
      <c r="F10" s="17"/>
      <c r="G10" s="17"/>
      <c r="H10" s="17"/>
      <c r="I10" s="17"/>
      <c r="J10" s="17"/>
      <c r="K10" s="17"/>
      <c r="L10" s="17"/>
      <c r="M10" s="17"/>
    </row>
    <row r="11" customHeight="1" spans="1:13">
      <c r="A11" s="19" t="s">
        <v>34</v>
      </c>
      <c r="B11" s="6"/>
      <c r="C11" s="6"/>
      <c r="D11" s="6"/>
      <c r="E11" s="6"/>
      <c r="F11" s="17"/>
      <c r="G11" s="17"/>
      <c r="H11" s="17"/>
      <c r="I11" s="17"/>
      <c r="J11" s="17"/>
      <c r="K11" s="17"/>
      <c r="L11" s="17"/>
      <c r="M11" s="17"/>
    </row>
    <row r="12" customHeight="1" spans="1:13">
      <c r="A12" s="11" t="s">
        <v>35</v>
      </c>
      <c r="B12" s="21">
        <f>SUMIFS(Ledger!$E$2:$E$500,Ledger!$B$2:$B$500,2500,Ledger!$I$2:$I$500,B$4)-SUMIFS(Ledger!$D$2:$D$500,Ledger!$B$2:$B$500,2500,Ledger!$I$2:$I$500,B$4)</f>
        <v>0</v>
      </c>
      <c r="C12" s="21">
        <f>SUMIFS(Ledger!$E$2:$E$500,Ledger!$B$2:$B$500,2500,Ledger!$I$2:$I$500,C$4)-SUMIFS(Ledger!$D$2:$D$500,Ledger!$B$2:$B$500,2500,Ledger!$I$2:$I$500,C$4)</f>
        <v>10000</v>
      </c>
      <c r="D12" s="21">
        <f>SUMIFS(Ledger!$E$2:$E$500,Ledger!$B$2:$B$500,2500,Ledger!$I$2:$I$500,D$4)-SUMIFS(Ledger!$D$2:$D$500,Ledger!$B$2:$B$500,2500,Ledger!$I$2:$I$500,D$4)</f>
        <v>0</v>
      </c>
      <c r="E12" s="21">
        <f>SUMIFS(Ledger!$E$2:$E$500,Ledger!$B$2:$B$500,2500,Ledger!$I$2:$I$500,E$4)-SUMIFS(Ledger!$D$2:$D$500,Ledger!$B$2:$B$500,2500,Ledger!$I$2:$I$500,E$4)</f>
        <v>0</v>
      </c>
      <c r="F12" s="17"/>
      <c r="G12" s="17"/>
      <c r="H12" s="17"/>
      <c r="I12" s="17"/>
      <c r="J12" s="17"/>
      <c r="K12" s="17"/>
      <c r="L12" s="17"/>
      <c r="M12" s="17"/>
    </row>
    <row r="13" customHeight="1" spans="1:13">
      <c r="A13" s="45" t="s">
        <v>36</v>
      </c>
      <c r="B13" s="27">
        <f t="shared" ref="B13:E13" si="1">B12</f>
        <v>0</v>
      </c>
      <c r="C13" s="27">
        <f t="shared" si="1"/>
        <v>10000</v>
      </c>
      <c r="D13" s="27">
        <f t="shared" si="1"/>
        <v>0</v>
      </c>
      <c r="E13" s="27">
        <f t="shared" si="1"/>
        <v>0</v>
      </c>
      <c r="F13" s="17"/>
      <c r="G13" s="17"/>
      <c r="H13" s="17"/>
      <c r="I13" s="17"/>
      <c r="J13" s="17"/>
      <c r="K13" s="17"/>
      <c r="L13" s="17"/>
      <c r="M13" s="17"/>
    </row>
    <row r="14" ht="14" spans="1:13">
      <c r="A14" s="6"/>
      <c r="B14" s="6"/>
      <c r="C14" s="6"/>
      <c r="D14" s="6"/>
      <c r="E14" s="6"/>
      <c r="F14" s="17"/>
      <c r="G14" s="17"/>
      <c r="H14" s="17"/>
      <c r="I14" s="17"/>
      <c r="J14" s="17"/>
      <c r="K14" s="17"/>
      <c r="L14" s="17"/>
      <c r="M14" s="17"/>
    </row>
    <row r="15" customHeight="1" spans="1:13">
      <c r="A15" s="19" t="s">
        <v>37</v>
      </c>
      <c r="B15" s="25">
        <f t="shared" ref="B15:E15" si="2">B9+B13</f>
        <v>1700</v>
      </c>
      <c r="C15" s="25">
        <f t="shared" si="2"/>
        <v>12700</v>
      </c>
      <c r="D15" s="25">
        <f t="shared" si="2"/>
        <v>4100</v>
      </c>
      <c r="E15" s="25">
        <f t="shared" si="2"/>
        <v>6200</v>
      </c>
      <c r="F15" s="17"/>
      <c r="G15" s="17"/>
      <c r="H15" s="17"/>
      <c r="I15" s="17"/>
      <c r="J15" s="17"/>
      <c r="K15" s="17"/>
      <c r="L15" s="17"/>
      <c r="M15" s="17"/>
    </row>
    <row r="16" customHeight="1" spans="1:13">
      <c r="A16" s="11" t="s">
        <v>38</v>
      </c>
      <c r="B16" s="4">
        <v>0</v>
      </c>
      <c r="C16" s="14">
        <f t="shared" ref="C16:E16" si="3">B17</f>
        <v>1700</v>
      </c>
      <c r="D16" s="14">
        <f t="shared" si="3"/>
        <v>14400</v>
      </c>
      <c r="E16" s="14">
        <f t="shared" si="3"/>
        <v>18500</v>
      </c>
      <c r="F16" s="17"/>
      <c r="G16" s="17"/>
      <c r="H16" s="17"/>
      <c r="I16" s="17"/>
      <c r="J16" s="17"/>
      <c r="K16" s="17"/>
      <c r="L16" s="17"/>
      <c r="M16" s="17"/>
    </row>
    <row r="17" customHeight="1" spans="1:13">
      <c r="A17" s="46" t="s">
        <v>39</v>
      </c>
      <c r="B17" s="32">
        <f t="shared" ref="B17:E17" si="4">B16+B15</f>
        <v>1700</v>
      </c>
      <c r="C17" s="32">
        <f t="shared" si="4"/>
        <v>14400</v>
      </c>
      <c r="D17" s="32">
        <f t="shared" si="4"/>
        <v>18500</v>
      </c>
      <c r="E17" s="32">
        <f t="shared" si="4"/>
        <v>24700</v>
      </c>
      <c r="F17" s="17"/>
      <c r="G17" s="17"/>
      <c r="H17" s="17"/>
      <c r="I17" s="17"/>
      <c r="J17" s="17"/>
      <c r="K17" s="17"/>
      <c r="L17" s="17"/>
      <c r="M17" s="17"/>
    </row>
    <row r="18" ht="14.75" spans="1:13">
      <c r="A18" s="6"/>
      <c r="B18" s="6"/>
      <c r="C18" s="6"/>
      <c r="D18" s="6"/>
      <c r="E18" s="6"/>
      <c r="F18" s="17"/>
      <c r="G18" s="17"/>
      <c r="H18" s="17"/>
      <c r="I18" s="17"/>
      <c r="J18" s="17"/>
      <c r="K18" s="17"/>
      <c r="L18" s="17"/>
      <c r="M18" s="17"/>
    </row>
    <row r="19" customHeight="1" spans="1:13">
      <c r="A19" s="11" t="s">
        <v>40</v>
      </c>
      <c r="B19" s="21">
        <f>BS!B6</f>
        <v>1700</v>
      </c>
      <c r="C19" s="21">
        <f>BS!C6</f>
        <v>14400</v>
      </c>
      <c r="D19" s="21">
        <f>BS!D6</f>
        <v>18500</v>
      </c>
      <c r="E19" s="21">
        <f>BS!E6</f>
        <v>24700</v>
      </c>
      <c r="F19" s="17"/>
      <c r="G19" s="17"/>
      <c r="H19" s="17"/>
      <c r="I19" s="17"/>
      <c r="J19" s="17"/>
      <c r="K19" s="17"/>
      <c r="L19" s="17"/>
      <c r="M19" s="17"/>
    </row>
    <row r="20" customHeight="1" spans="1:13">
      <c r="A20" s="19" t="s">
        <v>41</v>
      </c>
      <c r="B20" s="25">
        <f t="shared" ref="B20:E20" si="5">B17-B19</f>
        <v>0</v>
      </c>
      <c r="C20" s="25">
        <f t="shared" si="5"/>
        <v>0</v>
      </c>
      <c r="D20" s="25">
        <f t="shared" si="5"/>
        <v>0</v>
      </c>
      <c r="E20" s="25">
        <f t="shared" si="5"/>
        <v>0</v>
      </c>
      <c r="F20" s="17"/>
      <c r="G20" s="17"/>
      <c r="H20" s="17"/>
      <c r="I20" s="17"/>
      <c r="J20" s="17"/>
      <c r="K20" s="17"/>
      <c r="L20" s="17"/>
      <c r="M20" s="17"/>
    </row>
    <row r="21" ht="15.75" customHeight="1" spans="1:13">
      <c r="A21" s="6"/>
      <c r="B21" s="6"/>
      <c r="C21" s="6"/>
      <c r="D21" s="6"/>
      <c r="E21" s="6"/>
      <c r="F21" s="17"/>
      <c r="G21" s="17"/>
      <c r="H21" s="17"/>
      <c r="I21" s="17"/>
      <c r="J21" s="17"/>
      <c r="K21" s="17"/>
      <c r="L21" s="17"/>
      <c r="M21" s="17"/>
    </row>
    <row r="22" customHeight="1" spans="1:13">
      <c r="A22" s="18" t="s">
        <v>42</v>
      </c>
      <c r="B22" s="6"/>
      <c r="C22" s="6"/>
      <c r="D22" s="6"/>
      <c r="E22" s="6"/>
      <c r="F22" s="17"/>
      <c r="G22" s="17"/>
      <c r="H22" s="17"/>
      <c r="I22" s="17"/>
      <c r="J22" s="17"/>
      <c r="K22" s="17"/>
      <c r="L22" s="17"/>
      <c r="M22" s="17"/>
    </row>
    <row r="23" customHeight="1" spans="1:13">
      <c r="A23" s="18" t="s">
        <v>43</v>
      </c>
      <c r="B23" s="6"/>
      <c r="C23" s="6"/>
      <c r="D23" s="6"/>
      <c r="E23" s="6"/>
      <c r="F23" s="17"/>
      <c r="G23" s="17"/>
      <c r="H23" s="17"/>
      <c r="I23" s="17"/>
      <c r="J23" s="17"/>
      <c r="K23" s="17"/>
      <c r="L23" s="17"/>
      <c r="M23" s="17"/>
    </row>
    <row r="24" ht="15.75" customHeight="1" spans="1:13">
      <c r="A24" s="6"/>
      <c r="B24" s="6"/>
      <c r="C24" s="6"/>
      <c r="D24" s="6"/>
      <c r="E24" s="6"/>
      <c r="F24" s="17"/>
      <c r="G24" s="17"/>
      <c r="H24" s="17"/>
      <c r="I24" s="17"/>
      <c r="J24" s="17"/>
      <c r="K24" s="17"/>
      <c r="L24" s="17"/>
      <c r="M24" s="17"/>
    </row>
    <row r="25" ht="15.75" customHeight="1" spans="1:5">
      <c r="A25" s="9"/>
      <c r="B25" s="9"/>
      <c r="C25" s="9"/>
      <c r="D25" s="9"/>
      <c r="E25" s="9"/>
    </row>
    <row r="26" ht="15.75" customHeight="1" spans="1:5">
      <c r="A26" s="9"/>
      <c r="B26" s="9"/>
      <c r="C26" s="9"/>
      <c r="D26" s="9"/>
      <c r="E26" s="9"/>
    </row>
    <row r="27" ht="15.75" customHeight="1" spans="1:5">
      <c r="A27" s="9"/>
      <c r="B27" s="9"/>
      <c r="C27" s="9"/>
      <c r="D27" s="9"/>
      <c r="E27" s="9"/>
    </row>
    <row r="28" ht="15.75" customHeight="1" spans="1:5">
      <c r="A28" s="9"/>
      <c r="B28" s="9"/>
      <c r="C28" s="9"/>
      <c r="D28" s="9"/>
      <c r="E28" s="9"/>
    </row>
    <row r="29" ht="15.75" customHeight="1" spans="1:5">
      <c r="A29" s="9"/>
      <c r="B29" s="9"/>
      <c r="C29" s="9"/>
      <c r="D29" s="9"/>
      <c r="E29" s="9"/>
    </row>
    <row r="30" ht="15.75" customHeight="1" spans="1:5">
      <c r="A30" s="9"/>
      <c r="B30" s="9"/>
      <c r="C30" s="9"/>
      <c r="D30" s="9"/>
      <c r="E30" s="9"/>
    </row>
    <row r="31" ht="15.75" customHeight="1" spans="1:5">
      <c r="A31" s="9"/>
      <c r="B31" s="9"/>
      <c r="C31" s="9"/>
      <c r="D31" s="9"/>
      <c r="E31" s="9"/>
    </row>
    <row r="32" ht="15.75" customHeight="1" spans="1:5">
      <c r="A32" s="9"/>
      <c r="B32" s="9"/>
      <c r="C32" s="9"/>
      <c r="D32" s="9"/>
      <c r="E32" s="9"/>
    </row>
    <row r="33" ht="15.75" customHeight="1" spans="1:5">
      <c r="A33" s="9"/>
      <c r="B33" s="9"/>
      <c r="C33" s="9"/>
      <c r="D33" s="9"/>
      <c r="E33" s="9"/>
    </row>
    <row r="34" ht="15.75" customHeight="1" spans="1:5">
      <c r="A34" s="9"/>
      <c r="B34" s="9"/>
      <c r="C34" s="9"/>
      <c r="D34" s="9"/>
      <c r="E34" s="9"/>
    </row>
    <row r="35" ht="15.75" customHeight="1" spans="1:5">
      <c r="A35" s="9"/>
      <c r="B35" s="9"/>
      <c r="C35" s="9"/>
      <c r="D35" s="9"/>
      <c r="E35" s="9"/>
    </row>
    <row r="36" ht="15.75" customHeight="1" spans="1:5">
      <c r="A36" s="9"/>
      <c r="B36" s="9"/>
      <c r="C36" s="9"/>
      <c r="D36" s="9"/>
      <c r="E36" s="9"/>
    </row>
    <row r="37" ht="15.75" customHeight="1" spans="1:5">
      <c r="A37" s="9"/>
      <c r="B37" s="9"/>
      <c r="C37" s="9"/>
      <c r="D37" s="9"/>
      <c r="E37" s="9"/>
    </row>
    <row r="38" ht="15.75" customHeight="1" spans="1:5">
      <c r="A38" s="9"/>
      <c r="B38" s="9"/>
      <c r="C38" s="9"/>
      <c r="D38" s="9"/>
      <c r="E38" s="9"/>
    </row>
    <row r="39" ht="15.75" customHeight="1" spans="1:5">
      <c r="A39" s="9"/>
      <c r="B39" s="9"/>
      <c r="C39" s="9"/>
      <c r="D39" s="9"/>
      <c r="E39" s="9"/>
    </row>
    <row r="40" ht="15.75" customHeight="1" spans="1:5">
      <c r="A40" s="9"/>
      <c r="B40" s="9"/>
      <c r="C40" s="9"/>
      <c r="D40" s="9"/>
      <c r="E40" s="9"/>
    </row>
    <row r="41" ht="15.75" customHeight="1" spans="1:5">
      <c r="A41" s="9"/>
      <c r="B41" s="9"/>
      <c r="C41" s="9"/>
      <c r="D41" s="9"/>
      <c r="E41" s="9"/>
    </row>
    <row r="42" ht="15.75" customHeight="1" spans="1:5">
      <c r="A42" s="9"/>
      <c r="B42" s="9"/>
      <c r="C42" s="9"/>
      <c r="D42" s="9"/>
      <c r="E42" s="9"/>
    </row>
    <row r="43" ht="15.75" customHeight="1" spans="1:5">
      <c r="A43" s="9"/>
      <c r="B43" s="9"/>
      <c r="C43" s="9"/>
      <c r="D43" s="9"/>
      <c r="E43" s="9"/>
    </row>
    <row r="44" ht="15.75" customHeight="1" spans="1:5">
      <c r="A44" s="9"/>
      <c r="B44" s="9"/>
      <c r="C44" s="9"/>
      <c r="D44" s="9"/>
      <c r="E44" s="9"/>
    </row>
    <row r="45" ht="15.75" customHeight="1" spans="1:5">
      <c r="A45" s="9"/>
      <c r="B45" s="9"/>
      <c r="C45" s="9"/>
      <c r="D45" s="9"/>
      <c r="E45" s="9"/>
    </row>
    <row r="46" ht="15.75" customHeight="1" spans="1:5">
      <c r="A46" s="9"/>
      <c r="B46" s="9"/>
      <c r="C46" s="9"/>
      <c r="D46" s="9"/>
      <c r="E46" s="9"/>
    </row>
    <row r="47" ht="15.75" customHeight="1" spans="1:5">
      <c r="A47" s="9"/>
      <c r="B47" s="9"/>
      <c r="C47" s="9"/>
      <c r="D47" s="9"/>
      <c r="E47" s="9"/>
    </row>
    <row r="48" ht="15.75" customHeight="1" spans="1:5">
      <c r="A48" s="9"/>
      <c r="B48" s="9"/>
      <c r="C48" s="9"/>
      <c r="D48" s="9"/>
      <c r="E48" s="9"/>
    </row>
    <row r="49" ht="15.75" customHeight="1" spans="1:5">
      <c r="A49" s="9"/>
      <c r="B49" s="9"/>
      <c r="C49" s="9"/>
      <c r="D49" s="9"/>
      <c r="E49" s="9"/>
    </row>
    <row r="50" ht="15.75" customHeight="1" spans="1:5">
      <c r="A50" s="9"/>
      <c r="B50" s="9"/>
      <c r="C50" s="9"/>
      <c r="D50" s="9"/>
      <c r="E50" s="9"/>
    </row>
    <row r="51" ht="15.75" customHeight="1" spans="1:5">
      <c r="A51" s="9"/>
      <c r="B51" s="9"/>
      <c r="C51" s="9"/>
      <c r="D51" s="9"/>
      <c r="E51" s="9"/>
    </row>
    <row r="52" ht="15.75" customHeight="1" spans="1:5">
      <c r="A52" s="9"/>
      <c r="B52" s="9"/>
      <c r="C52" s="9"/>
      <c r="D52" s="9"/>
      <c r="E52" s="9"/>
    </row>
    <row r="53" ht="15.75" customHeight="1" spans="1:5">
      <c r="A53" s="9"/>
      <c r="B53" s="9"/>
      <c r="C53" s="9"/>
      <c r="D53" s="9"/>
      <c r="E53" s="9"/>
    </row>
    <row r="54" ht="15.75" customHeight="1" spans="1:5">
      <c r="A54" s="9"/>
      <c r="B54" s="9"/>
      <c r="C54" s="9"/>
      <c r="D54" s="9"/>
      <c r="E54" s="9"/>
    </row>
    <row r="55" ht="15.75" customHeight="1" spans="1:5">
      <c r="A55" s="9"/>
      <c r="B55" s="9"/>
      <c r="C55" s="9"/>
      <c r="D55" s="9"/>
      <c r="E55" s="9"/>
    </row>
    <row r="56" ht="15.75" customHeight="1" spans="1:5">
      <c r="A56" s="9"/>
      <c r="B56" s="9"/>
      <c r="C56" s="9"/>
      <c r="D56" s="9"/>
      <c r="E56" s="9"/>
    </row>
    <row r="57" ht="15.75" customHeight="1" spans="1:5">
      <c r="A57" s="9"/>
      <c r="B57" s="9"/>
      <c r="C57" s="9"/>
      <c r="D57" s="9"/>
      <c r="E57" s="9"/>
    </row>
    <row r="58" ht="15.75" customHeight="1" spans="1:5">
      <c r="A58" s="9"/>
      <c r="B58" s="9"/>
      <c r="C58" s="9"/>
      <c r="D58" s="9"/>
      <c r="E58" s="9"/>
    </row>
    <row r="59" ht="15.75" customHeight="1" spans="1:5">
      <c r="A59" s="9"/>
      <c r="B59" s="9"/>
      <c r="C59" s="9"/>
      <c r="D59" s="9"/>
      <c r="E59" s="9"/>
    </row>
    <row r="60" ht="15.75" customHeight="1" spans="1:5">
      <c r="A60" s="9"/>
      <c r="B60" s="9"/>
      <c r="C60" s="9"/>
      <c r="D60" s="9"/>
      <c r="E60" s="9"/>
    </row>
    <row r="61" ht="15.75" customHeight="1" spans="1:5">
      <c r="A61" s="9"/>
      <c r="B61" s="9"/>
      <c r="C61" s="9"/>
      <c r="D61" s="9"/>
      <c r="E61" s="9"/>
    </row>
    <row r="62" ht="15.75" customHeight="1" spans="1:5">
      <c r="A62" s="9"/>
      <c r="B62" s="9"/>
      <c r="C62" s="9"/>
      <c r="D62" s="9"/>
      <c r="E62" s="9"/>
    </row>
    <row r="63" ht="15.75" customHeight="1" spans="1:5">
      <c r="A63" s="9"/>
      <c r="B63" s="9"/>
      <c r="C63" s="9"/>
      <c r="D63" s="9"/>
      <c r="E63" s="9"/>
    </row>
    <row r="64" ht="15.75" customHeight="1" spans="1:5">
      <c r="A64" s="9"/>
      <c r="B64" s="9"/>
      <c r="C64" s="9"/>
      <c r="D64" s="9"/>
      <c r="E64" s="9"/>
    </row>
    <row r="65" ht="15.75" customHeight="1" spans="1:5">
      <c r="A65" s="9"/>
      <c r="B65" s="9"/>
      <c r="C65" s="9"/>
      <c r="D65" s="9"/>
      <c r="E65" s="9"/>
    </row>
    <row r="66" ht="15.75" customHeight="1" spans="1:5">
      <c r="A66" s="9"/>
      <c r="B66" s="9"/>
      <c r="C66" s="9"/>
      <c r="D66" s="9"/>
      <c r="E66" s="9"/>
    </row>
    <row r="67" ht="15.75" customHeight="1" spans="1:5">
      <c r="A67" s="9"/>
      <c r="B67" s="9"/>
      <c r="C67" s="9"/>
      <c r="D67" s="9"/>
      <c r="E67" s="9"/>
    </row>
    <row r="68" ht="15.75" customHeight="1" spans="1:5">
      <c r="A68" s="9"/>
      <c r="B68" s="9"/>
      <c r="C68" s="9"/>
      <c r="D68" s="9"/>
      <c r="E68" s="9"/>
    </row>
    <row r="69" ht="15.75" customHeight="1" spans="1:5">
      <c r="A69" s="9"/>
      <c r="B69" s="9"/>
      <c r="C69" s="9"/>
      <c r="D69" s="9"/>
      <c r="E69" s="9"/>
    </row>
    <row r="70" ht="15.75" customHeight="1" spans="1:5">
      <c r="A70" s="9"/>
      <c r="B70" s="9"/>
      <c r="C70" s="9"/>
      <c r="D70" s="9"/>
      <c r="E70" s="9"/>
    </row>
    <row r="71" ht="15.75" customHeight="1" spans="1:5">
      <c r="A71" s="9"/>
      <c r="B71" s="9"/>
      <c r="C71" s="9"/>
      <c r="D71" s="9"/>
      <c r="E71" s="9"/>
    </row>
    <row r="72" ht="15.75" customHeight="1" spans="1:5">
      <c r="A72" s="9"/>
      <c r="B72" s="9"/>
      <c r="C72" s="9"/>
      <c r="D72" s="9"/>
      <c r="E72" s="9"/>
    </row>
    <row r="73" ht="15.75" customHeight="1" spans="1:5">
      <c r="A73" s="9"/>
      <c r="B73" s="9"/>
      <c r="C73" s="9"/>
      <c r="D73" s="9"/>
      <c r="E73" s="9"/>
    </row>
    <row r="74" ht="15.75" customHeight="1" spans="1:5">
      <c r="A74" s="9"/>
      <c r="B74" s="9"/>
      <c r="C74" s="9"/>
      <c r="D74" s="9"/>
      <c r="E74" s="9"/>
    </row>
    <row r="75" ht="15.75" customHeight="1" spans="1:5">
      <c r="A75" s="9"/>
      <c r="B75" s="9"/>
      <c r="C75" s="9"/>
      <c r="D75" s="9"/>
      <c r="E75" s="9"/>
    </row>
    <row r="76" ht="15.75" customHeight="1" spans="1:5">
      <c r="A76" s="9"/>
      <c r="B76" s="9"/>
      <c r="C76" s="9"/>
      <c r="D76" s="9"/>
      <c r="E76" s="9"/>
    </row>
    <row r="77" ht="15.75" customHeight="1" spans="1:5">
      <c r="A77" s="9"/>
      <c r="B77" s="9"/>
      <c r="C77" s="9"/>
      <c r="D77" s="9"/>
      <c r="E77" s="9"/>
    </row>
    <row r="78" ht="15.75" customHeight="1" spans="1:5">
      <c r="A78" s="9"/>
      <c r="B78" s="9"/>
      <c r="C78" s="9"/>
      <c r="D78" s="9"/>
      <c r="E78" s="9"/>
    </row>
    <row r="79" ht="15.75" customHeight="1" spans="1:5">
      <c r="A79" s="9"/>
      <c r="B79" s="9"/>
      <c r="C79" s="9"/>
      <c r="D79" s="9"/>
      <c r="E79" s="9"/>
    </row>
    <row r="80" ht="15.75" customHeight="1" spans="1:5">
      <c r="A80" s="9"/>
      <c r="B80" s="9"/>
      <c r="C80" s="9"/>
      <c r="D80" s="9"/>
      <c r="E80" s="9"/>
    </row>
    <row r="81" ht="15.75" customHeight="1" spans="1:5">
      <c r="A81" s="9"/>
      <c r="B81" s="9"/>
      <c r="C81" s="9"/>
      <c r="D81" s="9"/>
      <c r="E81" s="9"/>
    </row>
    <row r="82" ht="15.75" customHeight="1" spans="1:5">
      <c r="A82" s="9"/>
      <c r="B82" s="9"/>
      <c r="C82" s="9"/>
      <c r="D82" s="9"/>
      <c r="E82" s="9"/>
    </row>
    <row r="83" ht="15.75" customHeight="1" spans="1:5">
      <c r="A83" s="9"/>
      <c r="B83" s="9"/>
      <c r="C83" s="9"/>
      <c r="D83" s="9"/>
      <c r="E83" s="9"/>
    </row>
    <row r="84" ht="15.75" customHeight="1" spans="1:5">
      <c r="A84" s="9"/>
      <c r="B84" s="9"/>
      <c r="C84" s="9"/>
      <c r="D84" s="9"/>
      <c r="E84" s="9"/>
    </row>
    <row r="85" ht="15.75" customHeight="1" spans="1:5">
      <c r="A85" s="9"/>
      <c r="B85" s="9"/>
      <c r="C85" s="9"/>
      <c r="D85" s="9"/>
      <c r="E85" s="9"/>
    </row>
    <row r="86" ht="15.75" customHeight="1" spans="1:5">
      <c r="A86" s="9"/>
      <c r="B86" s="9"/>
      <c r="C86" s="9"/>
      <c r="D86" s="9"/>
      <c r="E86" s="9"/>
    </row>
    <row r="87" ht="15.75" customHeight="1" spans="1:5">
      <c r="A87" s="9"/>
      <c r="B87" s="9"/>
      <c r="C87" s="9"/>
      <c r="D87" s="9"/>
      <c r="E87" s="9"/>
    </row>
    <row r="88" ht="15.75" customHeight="1" spans="1:5">
      <c r="A88" s="9"/>
      <c r="B88" s="9"/>
      <c r="C88" s="9"/>
      <c r="D88" s="9"/>
      <c r="E88" s="9"/>
    </row>
    <row r="89" ht="15.75" customHeight="1" spans="1:5">
      <c r="A89" s="9"/>
      <c r="B89" s="9"/>
      <c r="C89" s="9"/>
      <c r="D89" s="9"/>
      <c r="E89" s="9"/>
    </row>
    <row r="90" ht="15.75" customHeight="1" spans="1:5">
      <c r="A90" s="9"/>
      <c r="B90" s="9"/>
      <c r="C90" s="9"/>
      <c r="D90" s="9"/>
      <c r="E90" s="9"/>
    </row>
    <row r="91" ht="15.75" customHeight="1" spans="1:5">
      <c r="A91" s="9"/>
      <c r="B91" s="9"/>
      <c r="C91" s="9"/>
      <c r="D91" s="9"/>
      <c r="E91" s="9"/>
    </row>
    <row r="92" ht="15.75" customHeight="1" spans="1:5">
      <c r="A92" s="9"/>
      <c r="B92" s="9"/>
      <c r="C92" s="9"/>
      <c r="D92" s="9"/>
      <c r="E92" s="9"/>
    </row>
    <row r="93" ht="15.75" customHeight="1" spans="1:5">
      <c r="A93" s="9"/>
      <c r="B93" s="9"/>
      <c r="C93" s="9"/>
      <c r="D93" s="9"/>
      <c r="E93" s="9"/>
    </row>
    <row r="94" ht="15.75" customHeight="1" spans="1:5">
      <c r="A94" s="9"/>
      <c r="B94" s="9"/>
      <c r="C94" s="9"/>
      <c r="D94" s="9"/>
      <c r="E94" s="9"/>
    </row>
    <row r="95" ht="15.75" customHeight="1" spans="1:5">
      <c r="A95" s="9"/>
      <c r="B95" s="9"/>
      <c r="C95" s="9"/>
      <c r="D95" s="9"/>
      <c r="E95" s="9"/>
    </row>
    <row r="96" ht="15.75" customHeight="1" spans="1:5">
      <c r="A96" s="9"/>
      <c r="B96" s="9"/>
      <c r="C96" s="9"/>
      <c r="D96" s="9"/>
      <c r="E96" s="9"/>
    </row>
    <row r="97" ht="15.75" customHeight="1" spans="1:5">
      <c r="A97" s="9"/>
      <c r="B97" s="9"/>
      <c r="C97" s="9"/>
      <c r="D97" s="9"/>
      <c r="E97" s="9"/>
    </row>
    <row r="98" ht="15.75" customHeight="1" spans="1:5">
      <c r="A98" s="9"/>
      <c r="B98" s="9"/>
      <c r="C98" s="9"/>
      <c r="D98" s="9"/>
      <c r="E98" s="9"/>
    </row>
    <row r="99" ht="15.75" customHeight="1" spans="1:5">
      <c r="A99" s="9"/>
      <c r="B99" s="9"/>
      <c r="C99" s="9"/>
      <c r="D99" s="9"/>
      <c r="E99" s="9"/>
    </row>
    <row r="100" ht="15.75" customHeight="1" spans="1:5">
      <c r="A100" s="9"/>
      <c r="B100" s="9"/>
      <c r="C100" s="9"/>
      <c r="D100" s="9"/>
      <c r="E100" s="9"/>
    </row>
    <row r="101" ht="15.75" customHeight="1" spans="1:5">
      <c r="A101" s="9"/>
      <c r="B101" s="9"/>
      <c r="C101" s="9"/>
      <c r="D101" s="9"/>
      <c r="E101" s="9"/>
    </row>
    <row r="102" ht="15.75" customHeight="1" spans="1:5">
      <c r="A102" s="9"/>
      <c r="B102" s="9"/>
      <c r="C102" s="9"/>
      <c r="D102" s="9"/>
      <c r="E102" s="9"/>
    </row>
    <row r="103" ht="15.75" customHeight="1" spans="1:5">
      <c r="A103" s="9"/>
      <c r="B103" s="9"/>
      <c r="C103" s="9"/>
      <c r="D103" s="9"/>
      <c r="E103" s="9"/>
    </row>
    <row r="104" ht="15.75" customHeight="1" spans="1:5">
      <c r="A104" s="9"/>
      <c r="B104" s="9"/>
      <c r="C104" s="9"/>
      <c r="D104" s="9"/>
      <c r="E104" s="9"/>
    </row>
    <row r="105" ht="15.75" customHeight="1" spans="1:5">
      <c r="A105" s="9"/>
      <c r="B105" s="9"/>
      <c r="C105" s="9"/>
      <c r="D105" s="9"/>
      <c r="E105" s="9"/>
    </row>
    <row r="106" ht="15.75" customHeight="1" spans="1:5">
      <c r="A106" s="9"/>
      <c r="B106" s="9"/>
      <c r="C106" s="9"/>
      <c r="D106" s="9"/>
      <c r="E106" s="9"/>
    </row>
    <row r="107" ht="15.75" customHeight="1" spans="1:5">
      <c r="A107" s="9"/>
      <c r="B107" s="9"/>
      <c r="C107" s="9"/>
      <c r="D107" s="9"/>
      <c r="E107" s="9"/>
    </row>
    <row r="108" ht="15.75" customHeight="1" spans="1:5">
      <c r="A108" s="9"/>
      <c r="B108" s="9"/>
      <c r="C108" s="9"/>
      <c r="D108" s="9"/>
      <c r="E108" s="9"/>
    </row>
    <row r="109" ht="15.75" customHeight="1" spans="1:5">
      <c r="A109" s="9"/>
      <c r="B109" s="9"/>
      <c r="C109" s="9"/>
      <c r="D109" s="9"/>
      <c r="E109" s="9"/>
    </row>
    <row r="110" ht="15.75" customHeight="1" spans="1:5">
      <c r="A110" s="9"/>
      <c r="B110" s="9"/>
      <c r="C110" s="9"/>
      <c r="D110" s="9"/>
      <c r="E110" s="9"/>
    </row>
    <row r="111" ht="15.75" customHeight="1" spans="1:5">
      <c r="A111" s="9"/>
      <c r="B111" s="9"/>
      <c r="C111" s="9"/>
      <c r="D111" s="9"/>
      <c r="E111" s="9"/>
    </row>
    <row r="112" ht="15.75" customHeight="1" spans="1:5">
      <c r="A112" s="9"/>
      <c r="B112" s="9"/>
      <c r="C112" s="9"/>
      <c r="D112" s="9"/>
      <c r="E112" s="9"/>
    </row>
    <row r="113" ht="15.75" customHeight="1" spans="1:5">
      <c r="A113" s="9"/>
      <c r="B113" s="9"/>
      <c r="C113" s="9"/>
      <c r="D113" s="9"/>
      <c r="E113" s="9"/>
    </row>
    <row r="114" ht="15.75" customHeight="1" spans="1:5">
      <c r="A114" s="9"/>
      <c r="B114" s="9"/>
      <c r="C114" s="9"/>
      <c r="D114" s="9"/>
      <c r="E114" s="9"/>
    </row>
    <row r="115" ht="15.75" customHeight="1" spans="1:5">
      <c r="A115" s="9"/>
      <c r="B115" s="9"/>
      <c r="C115" s="9"/>
      <c r="D115" s="9"/>
      <c r="E115" s="9"/>
    </row>
    <row r="116" ht="15.75" customHeight="1" spans="1:5">
      <c r="A116" s="9"/>
      <c r="B116" s="9"/>
      <c r="C116" s="9"/>
      <c r="D116" s="9"/>
      <c r="E116" s="9"/>
    </row>
    <row r="117" ht="15.75" customHeight="1" spans="1:5">
      <c r="A117" s="9"/>
      <c r="B117" s="9"/>
      <c r="C117" s="9"/>
      <c r="D117" s="9"/>
      <c r="E117" s="9"/>
    </row>
    <row r="118" ht="15.75" customHeight="1" spans="1:5">
      <c r="A118" s="9"/>
      <c r="B118" s="9"/>
      <c r="C118" s="9"/>
      <c r="D118" s="9"/>
      <c r="E118" s="9"/>
    </row>
    <row r="119" ht="15.75" customHeight="1" spans="1:5">
      <c r="A119" s="9"/>
      <c r="B119" s="9"/>
      <c r="C119" s="9"/>
      <c r="D119" s="9"/>
      <c r="E119" s="9"/>
    </row>
    <row r="120" ht="15.75" customHeight="1" spans="1:5">
      <c r="A120" s="9"/>
      <c r="B120" s="9"/>
      <c r="C120" s="9"/>
      <c r="D120" s="9"/>
      <c r="E120" s="9"/>
    </row>
    <row r="121" ht="15.75" customHeight="1" spans="1:5">
      <c r="A121" s="9"/>
      <c r="B121" s="9"/>
      <c r="C121" s="9"/>
      <c r="D121" s="9"/>
      <c r="E121" s="9"/>
    </row>
    <row r="122" ht="15.75" customHeight="1" spans="1:5">
      <c r="A122" s="9"/>
      <c r="B122" s="9"/>
      <c r="C122" s="9"/>
      <c r="D122" s="9"/>
      <c r="E122" s="9"/>
    </row>
    <row r="123" ht="15.75" customHeight="1" spans="1:5">
      <c r="A123" s="9"/>
      <c r="B123" s="9"/>
      <c r="C123" s="9"/>
      <c r="D123" s="9"/>
      <c r="E123" s="9"/>
    </row>
    <row r="124" ht="15.75" customHeight="1" spans="1:5">
      <c r="A124" s="9"/>
      <c r="B124" s="9"/>
      <c r="C124" s="9"/>
      <c r="D124" s="9"/>
      <c r="E124" s="9"/>
    </row>
    <row r="125" ht="15.75" customHeight="1" spans="1:5">
      <c r="A125" s="9"/>
      <c r="B125" s="9"/>
      <c r="C125" s="9"/>
      <c r="D125" s="9"/>
      <c r="E125" s="9"/>
    </row>
    <row r="126" ht="15.75" customHeight="1" spans="1:5">
      <c r="A126" s="9"/>
      <c r="B126" s="9"/>
      <c r="C126" s="9"/>
      <c r="D126" s="9"/>
      <c r="E126" s="9"/>
    </row>
    <row r="127" ht="15.75" customHeight="1" spans="1:5">
      <c r="A127" s="9"/>
      <c r="B127" s="9"/>
      <c r="C127" s="9"/>
      <c r="D127" s="9"/>
      <c r="E127" s="9"/>
    </row>
    <row r="128" ht="15.75" customHeight="1" spans="1:5">
      <c r="A128" s="9"/>
      <c r="B128" s="9"/>
      <c r="C128" s="9"/>
      <c r="D128" s="9"/>
      <c r="E128" s="9"/>
    </row>
    <row r="129" ht="15.75" customHeight="1" spans="1:5">
      <c r="A129" s="9"/>
      <c r="B129" s="9"/>
      <c r="C129" s="9"/>
      <c r="D129" s="9"/>
      <c r="E129" s="9"/>
    </row>
    <row r="130" ht="15.75" customHeight="1" spans="1:5">
      <c r="A130" s="9"/>
      <c r="B130" s="9"/>
      <c r="C130" s="9"/>
      <c r="D130" s="9"/>
      <c r="E130" s="9"/>
    </row>
    <row r="131" ht="15.75" customHeight="1" spans="1:5">
      <c r="A131" s="9"/>
      <c r="B131" s="9"/>
      <c r="C131" s="9"/>
      <c r="D131" s="9"/>
      <c r="E131" s="9"/>
    </row>
    <row r="132" ht="15.75" customHeight="1" spans="1:5">
      <c r="A132" s="9"/>
      <c r="B132" s="9"/>
      <c r="C132" s="9"/>
      <c r="D132" s="9"/>
      <c r="E132" s="9"/>
    </row>
    <row r="133" ht="15.75" customHeight="1" spans="1:5">
      <c r="A133" s="9"/>
      <c r="B133" s="9"/>
      <c r="C133" s="9"/>
      <c r="D133" s="9"/>
      <c r="E133" s="9"/>
    </row>
    <row r="134" ht="15.75" customHeight="1" spans="1:5">
      <c r="A134" s="9"/>
      <c r="B134" s="9"/>
      <c r="C134" s="9"/>
      <c r="D134" s="9"/>
      <c r="E134" s="9"/>
    </row>
    <row r="135" ht="15.75" customHeight="1" spans="1:5">
      <c r="A135" s="9"/>
      <c r="B135" s="9"/>
      <c r="C135" s="9"/>
      <c r="D135" s="9"/>
      <c r="E135" s="9"/>
    </row>
    <row r="136" ht="15.75" customHeight="1" spans="1:5">
      <c r="A136" s="9"/>
      <c r="B136" s="9"/>
      <c r="C136" s="9"/>
      <c r="D136" s="9"/>
      <c r="E136" s="9"/>
    </row>
    <row r="137" ht="15.75" customHeight="1" spans="1:5">
      <c r="A137" s="9"/>
      <c r="B137" s="9"/>
      <c r="C137" s="9"/>
      <c r="D137" s="9"/>
      <c r="E137" s="9"/>
    </row>
    <row r="138" ht="15.75" customHeight="1" spans="1:5">
      <c r="A138" s="9"/>
      <c r="B138" s="9"/>
      <c r="C138" s="9"/>
      <c r="D138" s="9"/>
      <c r="E138" s="9"/>
    </row>
    <row r="139" ht="15.75" customHeight="1" spans="1:5">
      <c r="A139" s="9"/>
      <c r="B139" s="9"/>
      <c r="C139" s="9"/>
      <c r="D139" s="9"/>
      <c r="E139" s="9"/>
    </row>
    <row r="140" ht="15.75" customHeight="1" spans="1:5">
      <c r="A140" s="9"/>
      <c r="B140" s="9"/>
      <c r="C140" s="9"/>
      <c r="D140" s="9"/>
      <c r="E140" s="9"/>
    </row>
    <row r="141" ht="15.75" customHeight="1" spans="1:5">
      <c r="A141" s="9"/>
      <c r="B141" s="9"/>
      <c r="C141" s="9"/>
      <c r="D141" s="9"/>
      <c r="E141" s="9"/>
    </row>
    <row r="142" ht="15.75" customHeight="1" spans="1:5">
      <c r="A142" s="9"/>
      <c r="B142" s="9"/>
      <c r="C142" s="9"/>
      <c r="D142" s="9"/>
      <c r="E142" s="9"/>
    </row>
    <row r="143" ht="15.75" customHeight="1" spans="1:5">
      <c r="A143" s="9"/>
      <c r="B143" s="9"/>
      <c r="C143" s="9"/>
      <c r="D143" s="9"/>
      <c r="E143" s="9"/>
    </row>
    <row r="144" ht="15.75" customHeight="1" spans="1:5">
      <c r="A144" s="9"/>
      <c r="B144" s="9"/>
      <c r="C144" s="9"/>
      <c r="D144" s="9"/>
      <c r="E144" s="9"/>
    </row>
    <row r="145" ht="15.75" customHeight="1" spans="1:5">
      <c r="A145" s="9"/>
      <c r="B145" s="9"/>
      <c r="C145" s="9"/>
      <c r="D145" s="9"/>
      <c r="E145" s="9"/>
    </row>
    <row r="146" ht="15.75" customHeight="1" spans="1:5">
      <c r="A146" s="9"/>
      <c r="B146" s="9"/>
      <c r="C146" s="9"/>
      <c r="D146" s="9"/>
      <c r="E146" s="9"/>
    </row>
    <row r="147" ht="15.75" customHeight="1" spans="1:5">
      <c r="A147" s="9"/>
      <c r="B147" s="9"/>
      <c r="C147" s="9"/>
      <c r="D147" s="9"/>
      <c r="E147" s="9"/>
    </row>
    <row r="148" ht="15.75" customHeight="1" spans="1:5">
      <c r="A148" s="9"/>
      <c r="B148" s="9"/>
      <c r="C148" s="9"/>
      <c r="D148" s="9"/>
      <c r="E148" s="9"/>
    </row>
    <row r="149" ht="15.75" customHeight="1" spans="1:5">
      <c r="A149" s="9"/>
      <c r="B149" s="9"/>
      <c r="C149" s="9"/>
      <c r="D149" s="9"/>
      <c r="E149" s="9"/>
    </row>
    <row r="150" ht="15.75" customHeight="1" spans="1:5">
      <c r="A150" s="9"/>
      <c r="B150" s="9"/>
      <c r="C150" s="9"/>
      <c r="D150" s="9"/>
      <c r="E150" s="9"/>
    </row>
    <row r="151" ht="15.75" customHeight="1" spans="1:5">
      <c r="A151" s="9"/>
      <c r="B151" s="9"/>
      <c r="C151" s="9"/>
      <c r="D151" s="9"/>
      <c r="E151" s="9"/>
    </row>
    <row r="152" ht="15.75" customHeight="1" spans="1:5">
      <c r="A152" s="9"/>
      <c r="B152" s="9"/>
      <c r="C152" s="9"/>
      <c r="D152" s="9"/>
      <c r="E152" s="9"/>
    </row>
    <row r="153" ht="15.75" customHeight="1" spans="1:5">
      <c r="A153" s="9"/>
      <c r="B153" s="9"/>
      <c r="C153" s="9"/>
      <c r="D153" s="9"/>
      <c r="E153" s="9"/>
    </row>
    <row r="154" ht="15.75" customHeight="1" spans="1:5">
      <c r="A154" s="9"/>
      <c r="B154" s="9"/>
      <c r="C154" s="9"/>
      <c r="D154" s="9"/>
      <c r="E154" s="9"/>
    </row>
    <row r="155" ht="15.75" customHeight="1" spans="1:5">
      <c r="A155" s="9"/>
      <c r="B155" s="9"/>
      <c r="C155" s="9"/>
      <c r="D155" s="9"/>
      <c r="E155" s="9"/>
    </row>
    <row r="156" ht="15.75" customHeight="1" spans="1:5">
      <c r="A156" s="9"/>
      <c r="B156" s="9"/>
      <c r="C156" s="9"/>
      <c r="D156" s="9"/>
      <c r="E156" s="9"/>
    </row>
    <row r="157" ht="15.75" customHeight="1" spans="1:5">
      <c r="A157" s="9"/>
      <c r="B157" s="9"/>
      <c r="C157" s="9"/>
      <c r="D157" s="9"/>
      <c r="E157" s="9"/>
    </row>
    <row r="158" ht="15.75" customHeight="1" spans="1:5">
      <c r="A158" s="9"/>
      <c r="B158" s="9"/>
      <c r="C158" s="9"/>
      <c r="D158" s="9"/>
      <c r="E158" s="9"/>
    </row>
    <row r="159" ht="15.75" customHeight="1" spans="1:5">
      <c r="A159" s="9"/>
      <c r="B159" s="9"/>
      <c r="C159" s="9"/>
      <c r="D159" s="9"/>
      <c r="E159" s="9"/>
    </row>
    <row r="160" ht="15.75" customHeight="1" spans="1:5">
      <c r="A160" s="9"/>
      <c r="B160" s="9"/>
      <c r="C160" s="9"/>
      <c r="D160" s="9"/>
      <c r="E160" s="9"/>
    </row>
    <row r="161" ht="15.75" customHeight="1" spans="1:5">
      <c r="A161" s="9"/>
      <c r="B161" s="9"/>
      <c r="C161" s="9"/>
      <c r="D161" s="9"/>
      <c r="E161" s="9"/>
    </row>
    <row r="162" ht="15.75" customHeight="1" spans="1:5">
      <c r="A162" s="9"/>
      <c r="B162" s="9"/>
      <c r="C162" s="9"/>
      <c r="D162" s="9"/>
      <c r="E162" s="9"/>
    </row>
    <row r="163" ht="15.75" customHeight="1" spans="1:5">
      <c r="A163" s="9"/>
      <c r="B163" s="9"/>
      <c r="C163" s="9"/>
      <c r="D163" s="9"/>
      <c r="E163" s="9"/>
    </row>
    <row r="164" ht="15.75" customHeight="1" spans="1:5">
      <c r="A164" s="9"/>
      <c r="B164" s="9"/>
      <c r="C164" s="9"/>
      <c r="D164" s="9"/>
      <c r="E164" s="9"/>
    </row>
    <row r="165" ht="15.75" customHeight="1" spans="1:5">
      <c r="A165" s="9"/>
      <c r="B165" s="9"/>
      <c r="C165" s="9"/>
      <c r="D165" s="9"/>
      <c r="E165" s="9"/>
    </row>
    <row r="166" ht="15.75" customHeight="1" spans="1:5">
      <c r="A166" s="9"/>
      <c r="B166" s="9"/>
      <c r="C166" s="9"/>
      <c r="D166" s="9"/>
      <c r="E166" s="9"/>
    </row>
    <row r="167" ht="15.75" customHeight="1" spans="1:5">
      <c r="A167" s="9"/>
      <c r="B167" s="9"/>
      <c r="C167" s="9"/>
      <c r="D167" s="9"/>
      <c r="E167" s="9"/>
    </row>
    <row r="168" ht="15.75" customHeight="1" spans="1:5">
      <c r="A168" s="9"/>
      <c r="B168" s="9"/>
      <c r="C168" s="9"/>
      <c r="D168" s="9"/>
      <c r="E168" s="9"/>
    </row>
    <row r="169" ht="15.75" customHeight="1" spans="1:5">
      <c r="A169" s="9"/>
      <c r="B169" s="9"/>
      <c r="C169" s="9"/>
      <c r="D169" s="9"/>
      <c r="E169" s="9"/>
    </row>
    <row r="170" ht="15.75" customHeight="1" spans="1:5">
      <c r="A170" s="9"/>
      <c r="B170" s="9"/>
      <c r="C170" s="9"/>
      <c r="D170" s="9"/>
      <c r="E170" s="9"/>
    </row>
    <row r="171" ht="15.75" customHeight="1" spans="1:5">
      <c r="A171" s="9"/>
      <c r="B171" s="9"/>
      <c r="C171" s="9"/>
      <c r="D171" s="9"/>
      <c r="E171" s="9"/>
    </row>
    <row r="172" ht="15.75" customHeight="1" spans="1:5">
      <c r="A172" s="9"/>
      <c r="B172" s="9"/>
      <c r="C172" s="9"/>
      <c r="D172" s="9"/>
      <c r="E172" s="9"/>
    </row>
    <row r="173" ht="15.75" customHeight="1" spans="1:5">
      <c r="A173" s="9"/>
      <c r="B173" s="9"/>
      <c r="C173" s="9"/>
      <c r="D173" s="9"/>
      <c r="E173" s="9"/>
    </row>
    <row r="174" ht="15.75" customHeight="1" spans="1:5">
      <c r="A174" s="9"/>
      <c r="B174" s="9"/>
      <c r="C174" s="9"/>
      <c r="D174" s="9"/>
      <c r="E174" s="9"/>
    </row>
    <row r="175" ht="15.75" customHeight="1" spans="1:5">
      <c r="A175" s="9"/>
      <c r="B175" s="9"/>
      <c r="C175" s="9"/>
      <c r="D175" s="9"/>
      <c r="E175" s="9"/>
    </row>
    <row r="176" ht="15.75" customHeight="1" spans="1:5">
      <c r="A176" s="9"/>
      <c r="B176" s="9"/>
      <c r="C176" s="9"/>
      <c r="D176" s="9"/>
      <c r="E176" s="9"/>
    </row>
    <row r="177" ht="15.75" customHeight="1" spans="1:5">
      <c r="A177" s="9"/>
      <c r="B177" s="9"/>
      <c r="C177" s="9"/>
      <c r="D177" s="9"/>
      <c r="E177" s="9"/>
    </row>
    <row r="178" ht="15.75" customHeight="1" spans="1:5">
      <c r="A178" s="9"/>
      <c r="B178" s="9"/>
      <c r="C178" s="9"/>
      <c r="D178" s="9"/>
      <c r="E178" s="9"/>
    </row>
    <row r="179" ht="15.75" customHeight="1" spans="1:5">
      <c r="A179" s="9"/>
      <c r="B179" s="9"/>
      <c r="C179" s="9"/>
      <c r="D179" s="9"/>
      <c r="E179" s="9"/>
    </row>
    <row r="180" ht="15.75" customHeight="1" spans="1:5">
      <c r="A180" s="9"/>
      <c r="B180" s="9"/>
      <c r="C180" s="9"/>
      <c r="D180" s="9"/>
      <c r="E180" s="9"/>
    </row>
    <row r="181" ht="15.75" customHeight="1" spans="1:5">
      <c r="A181" s="9"/>
      <c r="B181" s="9"/>
      <c r="C181" s="9"/>
      <c r="D181" s="9"/>
      <c r="E181" s="9"/>
    </row>
    <row r="182" ht="15.75" customHeight="1" spans="1:5">
      <c r="A182" s="9"/>
      <c r="B182" s="9"/>
      <c r="C182" s="9"/>
      <c r="D182" s="9"/>
      <c r="E182" s="9"/>
    </row>
    <row r="183" ht="15.75" customHeight="1" spans="1:5">
      <c r="A183" s="9"/>
      <c r="B183" s="9"/>
      <c r="C183" s="9"/>
      <c r="D183" s="9"/>
      <c r="E183" s="9"/>
    </row>
    <row r="184" ht="15.75" customHeight="1" spans="1:5">
      <c r="A184" s="9"/>
      <c r="B184" s="9"/>
      <c r="C184" s="9"/>
      <c r="D184" s="9"/>
      <c r="E184" s="9"/>
    </row>
    <row r="185" ht="15.75" customHeight="1" spans="1:5">
      <c r="A185" s="9"/>
      <c r="B185" s="9"/>
      <c r="C185" s="9"/>
      <c r="D185" s="9"/>
      <c r="E185" s="9"/>
    </row>
    <row r="186" ht="15.75" customHeight="1" spans="1:5">
      <c r="A186" s="9"/>
      <c r="B186" s="9"/>
      <c r="C186" s="9"/>
      <c r="D186" s="9"/>
      <c r="E186" s="9"/>
    </row>
    <row r="187" ht="15.75" customHeight="1" spans="1:5">
      <c r="A187" s="9"/>
      <c r="B187" s="9"/>
      <c r="C187" s="9"/>
      <c r="D187" s="9"/>
      <c r="E187" s="9"/>
    </row>
    <row r="188" ht="15.75" customHeight="1" spans="1:5">
      <c r="A188" s="9"/>
      <c r="B188" s="9"/>
      <c r="C188" s="9"/>
      <c r="D188" s="9"/>
      <c r="E188" s="9"/>
    </row>
    <row r="189" ht="15.75" customHeight="1" spans="1:5">
      <c r="A189" s="9"/>
      <c r="B189" s="9"/>
      <c r="C189" s="9"/>
      <c r="D189" s="9"/>
      <c r="E189" s="9"/>
    </row>
    <row r="190" ht="15.75" customHeight="1" spans="1:5">
      <c r="A190" s="9"/>
      <c r="B190" s="9"/>
      <c r="C190" s="9"/>
      <c r="D190" s="9"/>
      <c r="E190" s="9"/>
    </row>
    <row r="191" ht="15.75" customHeight="1" spans="1:5">
      <c r="A191" s="9"/>
      <c r="B191" s="9"/>
      <c r="C191" s="9"/>
      <c r="D191" s="9"/>
      <c r="E191" s="9"/>
    </row>
    <row r="192" ht="15.75" customHeight="1" spans="1:5">
      <c r="A192" s="9"/>
      <c r="B192" s="9"/>
      <c r="C192" s="9"/>
      <c r="D192" s="9"/>
      <c r="E192" s="9"/>
    </row>
    <row r="193" ht="15.75" customHeight="1" spans="1:5">
      <c r="A193" s="9"/>
      <c r="B193" s="9"/>
      <c r="C193" s="9"/>
      <c r="D193" s="9"/>
      <c r="E193" s="9"/>
    </row>
    <row r="194" ht="15.75" customHeight="1" spans="1:5">
      <c r="A194" s="9"/>
      <c r="B194" s="9"/>
      <c r="C194" s="9"/>
      <c r="D194" s="9"/>
      <c r="E194" s="9"/>
    </row>
    <row r="195" ht="15.75" customHeight="1" spans="1:5">
      <c r="A195" s="9"/>
      <c r="B195" s="9"/>
      <c r="C195" s="9"/>
      <c r="D195" s="9"/>
      <c r="E195" s="9"/>
    </row>
    <row r="196" ht="15.75" customHeight="1" spans="1:5">
      <c r="A196" s="9"/>
      <c r="B196" s="9"/>
      <c r="C196" s="9"/>
      <c r="D196" s="9"/>
      <c r="E196" s="9"/>
    </row>
    <row r="197" ht="15.75" customHeight="1" spans="1:5">
      <c r="A197" s="9"/>
      <c r="B197" s="9"/>
      <c r="C197" s="9"/>
      <c r="D197" s="9"/>
      <c r="E197" s="9"/>
    </row>
    <row r="198" ht="15.75" customHeight="1" spans="1:5">
      <c r="A198" s="9"/>
      <c r="B198" s="9"/>
      <c r="C198" s="9"/>
      <c r="D198" s="9"/>
      <c r="E198" s="9"/>
    </row>
    <row r="199" ht="15.75" customHeight="1" spans="1:5">
      <c r="A199" s="9"/>
      <c r="B199" s="9"/>
      <c r="C199" s="9"/>
      <c r="D199" s="9"/>
      <c r="E199" s="9"/>
    </row>
    <row r="200" ht="15.75" customHeight="1" spans="1:5">
      <c r="A200" s="9"/>
      <c r="B200" s="9"/>
      <c r="C200" s="9"/>
      <c r="D200" s="9"/>
      <c r="E200" s="9"/>
    </row>
    <row r="201" ht="15.75" customHeight="1" spans="1:5">
      <c r="A201" s="9"/>
      <c r="B201" s="9"/>
      <c r="C201" s="9"/>
      <c r="D201" s="9"/>
      <c r="E201" s="9"/>
    </row>
    <row r="202" ht="15.75" customHeight="1" spans="1:5">
      <c r="A202" s="9"/>
      <c r="B202" s="9"/>
      <c r="C202" s="9"/>
      <c r="D202" s="9"/>
      <c r="E202" s="9"/>
    </row>
    <row r="203" ht="15.75" customHeight="1" spans="1:5">
      <c r="A203" s="9"/>
      <c r="B203" s="9"/>
      <c r="C203" s="9"/>
      <c r="D203" s="9"/>
      <c r="E203" s="9"/>
    </row>
    <row r="204" ht="15.75" customHeight="1" spans="1:5">
      <c r="A204" s="9"/>
      <c r="B204" s="9"/>
      <c r="C204" s="9"/>
      <c r="D204" s="9"/>
      <c r="E204" s="9"/>
    </row>
    <row r="205" ht="15.75" customHeight="1" spans="1:5">
      <c r="A205" s="9"/>
      <c r="B205" s="9"/>
      <c r="C205" s="9"/>
      <c r="D205" s="9"/>
      <c r="E205" s="9"/>
    </row>
    <row r="206" ht="15.75" customHeight="1" spans="1:5">
      <c r="A206" s="9"/>
      <c r="B206" s="9"/>
      <c r="C206" s="9"/>
      <c r="D206" s="9"/>
      <c r="E206" s="9"/>
    </row>
    <row r="207" ht="15.75" customHeight="1" spans="1:5">
      <c r="A207" s="9"/>
      <c r="B207" s="9"/>
      <c r="C207" s="9"/>
      <c r="D207" s="9"/>
      <c r="E207" s="9"/>
    </row>
    <row r="208" ht="15.75" customHeight="1" spans="1:5">
      <c r="A208" s="9"/>
      <c r="B208" s="9"/>
      <c r="C208" s="9"/>
      <c r="D208" s="9"/>
      <c r="E208" s="9"/>
    </row>
    <row r="209" ht="15.75" customHeight="1" spans="1:5">
      <c r="A209" s="9"/>
      <c r="B209" s="9"/>
      <c r="C209" s="9"/>
      <c r="D209" s="9"/>
      <c r="E209" s="9"/>
    </row>
    <row r="210" ht="15.75" customHeight="1" spans="1:5">
      <c r="A210" s="9"/>
      <c r="B210" s="9"/>
      <c r="C210" s="9"/>
      <c r="D210" s="9"/>
      <c r="E210" s="9"/>
    </row>
    <row r="211" ht="15.75" customHeight="1" spans="1:5">
      <c r="A211" s="9"/>
      <c r="B211" s="9"/>
      <c r="C211" s="9"/>
      <c r="D211" s="9"/>
      <c r="E211" s="9"/>
    </row>
    <row r="212" ht="15.75" customHeight="1" spans="1:5">
      <c r="A212" s="9"/>
      <c r="B212" s="9"/>
      <c r="C212" s="9"/>
      <c r="D212" s="9"/>
      <c r="E212" s="9"/>
    </row>
    <row r="213" ht="15.75" customHeight="1" spans="1:5">
      <c r="A213" s="9"/>
      <c r="B213" s="9"/>
      <c r="C213" s="9"/>
      <c r="D213" s="9"/>
      <c r="E213" s="9"/>
    </row>
    <row r="214" ht="15.75" customHeight="1" spans="1:5">
      <c r="A214" s="9"/>
      <c r="B214" s="9"/>
      <c r="C214" s="9"/>
      <c r="D214" s="9"/>
      <c r="E214" s="9"/>
    </row>
    <row r="215" ht="15.75" customHeight="1" spans="1:5">
      <c r="A215" s="9"/>
      <c r="B215" s="9"/>
      <c r="C215" s="9"/>
      <c r="D215" s="9"/>
      <c r="E215" s="9"/>
    </row>
    <row r="216" ht="15.75" customHeight="1" spans="1:5">
      <c r="A216" s="9"/>
      <c r="B216" s="9"/>
      <c r="C216" s="9"/>
      <c r="D216" s="9"/>
      <c r="E216" s="9"/>
    </row>
    <row r="217" ht="15.75" customHeight="1" spans="1:5">
      <c r="A217" s="9"/>
      <c r="B217" s="9"/>
      <c r="C217" s="9"/>
      <c r="D217" s="9"/>
      <c r="E217" s="9"/>
    </row>
    <row r="218" ht="15.75" customHeight="1" spans="1:5">
      <c r="A218" s="9"/>
      <c r="B218" s="9"/>
      <c r="C218" s="9"/>
      <c r="D218" s="9"/>
      <c r="E218" s="9"/>
    </row>
    <row r="219" ht="15.75" customHeight="1" spans="1:5">
      <c r="A219" s="9"/>
      <c r="B219" s="9"/>
      <c r="C219" s="9"/>
      <c r="D219" s="9"/>
      <c r="E219" s="9"/>
    </row>
    <row r="220" ht="15.75" customHeight="1" spans="1:5">
      <c r="A220" s="9"/>
      <c r="B220" s="9"/>
      <c r="C220" s="9"/>
      <c r="D220" s="9"/>
      <c r="E220" s="9"/>
    </row>
    <row r="221" ht="15.75" customHeight="1" spans="1:5">
      <c r="A221" s="9"/>
      <c r="B221" s="9"/>
      <c r="C221" s="9"/>
      <c r="D221" s="9"/>
      <c r="E221" s="9"/>
    </row>
    <row r="222" ht="15.75" customHeight="1" spans="1:5">
      <c r="A222" s="9"/>
      <c r="B222" s="9"/>
      <c r="C222" s="9"/>
      <c r="D222" s="9"/>
      <c r="E222" s="9"/>
    </row>
    <row r="223" ht="15.75" customHeight="1" spans="1:5">
      <c r="A223" s="9"/>
      <c r="B223" s="9"/>
      <c r="C223" s="9"/>
      <c r="D223" s="9"/>
      <c r="E223" s="9"/>
    </row>
    <row r="224" ht="15.75" customHeight="1" spans="1:5">
      <c r="A224" s="9"/>
      <c r="B224" s="9"/>
      <c r="C224" s="9"/>
      <c r="D224" s="9"/>
      <c r="E224" s="9"/>
    </row>
    <row r="225" ht="15.75" customHeight="1" spans="1:5">
      <c r="A225" s="9"/>
      <c r="B225" s="9"/>
      <c r="C225" s="9"/>
      <c r="D225" s="9"/>
      <c r="E225" s="9"/>
    </row>
    <row r="226" ht="15.75" customHeight="1" spans="1:5">
      <c r="A226" s="9"/>
      <c r="B226" s="9"/>
      <c r="C226" s="9"/>
      <c r="D226" s="9"/>
      <c r="E226" s="9"/>
    </row>
    <row r="227" ht="15.75" customHeight="1" spans="1:5">
      <c r="A227" s="9"/>
      <c r="B227" s="9"/>
      <c r="C227" s="9"/>
      <c r="D227" s="9"/>
      <c r="E227" s="9"/>
    </row>
    <row r="228" ht="15.75" customHeight="1" spans="1:5">
      <c r="A228" s="9"/>
      <c r="B228" s="9"/>
      <c r="C228" s="9"/>
      <c r="D228" s="9"/>
      <c r="E228" s="9"/>
    </row>
    <row r="229" ht="15.75" customHeight="1" spans="1:5">
      <c r="A229" s="9"/>
      <c r="B229" s="9"/>
      <c r="C229" s="9"/>
      <c r="D229" s="9"/>
      <c r="E229" s="9"/>
    </row>
    <row r="230" ht="15.75" customHeight="1" spans="1:5">
      <c r="A230" s="9"/>
      <c r="B230" s="9"/>
      <c r="C230" s="9"/>
      <c r="D230" s="9"/>
      <c r="E230" s="9"/>
    </row>
    <row r="231" ht="15.75" customHeight="1" spans="1:5">
      <c r="A231" s="9"/>
      <c r="B231" s="9"/>
      <c r="C231" s="9"/>
      <c r="D231" s="9"/>
      <c r="E231" s="9"/>
    </row>
    <row r="232" ht="15.75" customHeight="1" spans="1:5">
      <c r="A232" s="9"/>
      <c r="B232" s="9"/>
      <c r="C232" s="9"/>
      <c r="D232" s="9"/>
      <c r="E232" s="9"/>
    </row>
    <row r="233" ht="15.75" customHeight="1" spans="1:5">
      <c r="A233" s="9"/>
      <c r="B233" s="9"/>
      <c r="C233" s="9"/>
      <c r="D233" s="9"/>
      <c r="E233" s="9"/>
    </row>
    <row r="234" ht="15.75" customHeight="1" spans="1:5">
      <c r="A234" s="9"/>
      <c r="B234" s="9"/>
      <c r="C234" s="9"/>
      <c r="D234" s="9"/>
      <c r="E234" s="9"/>
    </row>
    <row r="235" ht="15.75" customHeight="1" spans="1:5">
      <c r="A235" s="9"/>
      <c r="B235" s="9"/>
      <c r="C235" s="9"/>
      <c r="D235" s="9"/>
      <c r="E235" s="9"/>
    </row>
    <row r="236" ht="15.75" customHeight="1" spans="1:5">
      <c r="A236" s="9"/>
      <c r="B236" s="9"/>
      <c r="C236" s="9"/>
      <c r="D236" s="9"/>
      <c r="E236" s="9"/>
    </row>
    <row r="237" ht="15.75" customHeight="1" spans="1:5">
      <c r="A237" s="9"/>
      <c r="B237" s="9"/>
      <c r="C237" s="9"/>
      <c r="D237" s="9"/>
      <c r="E237" s="9"/>
    </row>
    <row r="238" ht="15.75" customHeight="1" spans="1:5">
      <c r="A238" s="9"/>
      <c r="B238" s="9"/>
      <c r="C238" s="9"/>
      <c r="D238" s="9"/>
      <c r="E238" s="9"/>
    </row>
    <row r="239" ht="15.75" customHeight="1" spans="1:5">
      <c r="A239" s="9"/>
      <c r="B239" s="9"/>
      <c r="C239" s="9"/>
      <c r="D239" s="9"/>
      <c r="E239" s="9"/>
    </row>
    <row r="240" ht="15.75" customHeight="1" spans="1:5">
      <c r="A240" s="9"/>
      <c r="B240" s="9"/>
      <c r="C240" s="9"/>
      <c r="D240" s="9"/>
      <c r="E240" s="9"/>
    </row>
    <row r="241" ht="15.75" customHeight="1" spans="1:5">
      <c r="A241" s="9"/>
      <c r="B241" s="9"/>
      <c r="C241" s="9"/>
      <c r="D241" s="9"/>
      <c r="E241" s="9"/>
    </row>
    <row r="242" ht="15.75" customHeight="1" spans="1:5">
      <c r="A242" s="9"/>
      <c r="B242" s="9"/>
      <c r="C242" s="9"/>
      <c r="D242" s="9"/>
      <c r="E242" s="9"/>
    </row>
    <row r="243" ht="15.75" customHeight="1" spans="1:5">
      <c r="A243" s="9"/>
      <c r="B243" s="9"/>
      <c r="C243" s="9"/>
      <c r="D243" s="9"/>
      <c r="E243" s="9"/>
    </row>
    <row r="244" ht="15.75" customHeight="1" spans="1:5">
      <c r="A244" s="9"/>
      <c r="B244" s="9"/>
      <c r="C244" s="9"/>
      <c r="D244" s="9"/>
      <c r="E244" s="9"/>
    </row>
    <row r="245" ht="15.75" customHeight="1" spans="1:5">
      <c r="A245" s="9"/>
      <c r="B245" s="9"/>
      <c r="C245" s="9"/>
      <c r="D245" s="9"/>
      <c r="E245" s="9"/>
    </row>
    <row r="246" ht="15.75" customHeight="1" spans="1:5">
      <c r="A246" s="9"/>
      <c r="B246" s="9"/>
      <c r="C246" s="9"/>
      <c r="D246" s="9"/>
      <c r="E246" s="9"/>
    </row>
    <row r="247" ht="15.75" customHeight="1" spans="1:5">
      <c r="A247" s="9"/>
      <c r="B247" s="9"/>
      <c r="C247" s="9"/>
      <c r="D247" s="9"/>
      <c r="E247" s="9"/>
    </row>
    <row r="248" ht="15.75" customHeight="1" spans="1:5">
      <c r="A248" s="9"/>
      <c r="B248" s="9"/>
      <c r="C248" s="9"/>
      <c r="D248" s="9"/>
      <c r="E248" s="9"/>
    </row>
    <row r="249" ht="15.75" customHeight="1" spans="1:5">
      <c r="A249" s="9"/>
      <c r="B249" s="9"/>
      <c r="C249" s="9"/>
      <c r="D249" s="9"/>
      <c r="E249" s="9"/>
    </row>
    <row r="250" ht="15.75" customHeight="1" spans="1:5">
      <c r="A250" s="9"/>
      <c r="B250" s="9"/>
      <c r="C250" s="9"/>
      <c r="D250" s="9"/>
      <c r="E250" s="9"/>
    </row>
    <row r="251" ht="15.75" customHeight="1" spans="1:5">
      <c r="A251" s="9"/>
      <c r="B251" s="9"/>
      <c r="C251" s="9"/>
      <c r="D251" s="9"/>
      <c r="E251" s="9"/>
    </row>
    <row r="252" ht="15.75" customHeight="1" spans="1:5">
      <c r="A252" s="9"/>
      <c r="B252" s="9"/>
      <c r="C252" s="9"/>
      <c r="D252" s="9"/>
      <c r="E252" s="9"/>
    </row>
    <row r="253" ht="15.75" customHeight="1" spans="1:5">
      <c r="A253" s="9"/>
      <c r="B253" s="9"/>
      <c r="C253" s="9"/>
      <c r="D253" s="9"/>
      <c r="E253" s="9"/>
    </row>
    <row r="254" ht="15.75" customHeight="1" spans="1:5">
      <c r="A254" s="9"/>
      <c r="B254" s="9"/>
      <c r="C254" s="9"/>
      <c r="D254" s="9"/>
      <c r="E254" s="9"/>
    </row>
    <row r="255" ht="15.75" customHeight="1" spans="1:5">
      <c r="A255" s="9"/>
      <c r="B255" s="9"/>
      <c r="C255" s="9"/>
      <c r="D255" s="9"/>
      <c r="E255" s="9"/>
    </row>
    <row r="256" ht="15.75" customHeight="1" spans="1:5">
      <c r="A256" s="9"/>
      <c r="B256" s="9"/>
      <c r="C256" s="9"/>
      <c r="D256" s="9"/>
      <c r="E256" s="9"/>
    </row>
    <row r="257" ht="15.75" customHeight="1" spans="1:5">
      <c r="A257" s="9"/>
      <c r="B257" s="9"/>
      <c r="C257" s="9"/>
      <c r="D257" s="9"/>
      <c r="E257" s="9"/>
    </row>
    <row r="258" ht="15.75" customHeight="1" spans="1:5">
      <c r="A258" s="9"/>
      <c r="B258" s="9"/>
      <c r="C258" s="9"/>
      <c r="D258" s="9"/>
      <c r="E258" s="9"/>
    </row>
    <row r="259" ht="15.75" customHeight="1" spans="1:5">
      <c r="A259" s="9"/>
      <c r="B259" s="9"/>
      <c r="C259" s="9"/>
      <c r="D259" s="9"/>
      <c r="E259" s="9"/>
    </row>
    <row r="260" ht="15.75" customHeight="1" spans="1:5">
      <c r="A260" s="9"/>
      <c r="B260" s="9"/>
      <c r="C260" s="9"/>
      <c r="D260" s="9"/>
      <c r="E260" s="9"/>
    </row>
    <row r="261" ht="15.75" customHeight="1" spans="1:5">
      <c r="A261" s="9"/>
      <c r="B261" s="9"/>
      <c r="C261" s="9"/>
      <c r="D261" s="9"/>
      <c r="E261" s="9"/>
    </row>
    <row r="262" ht="15.75" customHeight="1" spans="1:5">
      <c r="A262" s="9"/>
      <c r="B262" s="9"/>
      <c r="C262" s="9"/>
      <c r="D262" s="9"/>
      <c r="E262" s="9"/>
    </row>
    <row r="263" ht="15.75" customHeight="1" spans="1:5">
      <c r="A263" s="9"/>
      <c r="B263" s="9"/>
      <c r="C263" s="9"/>
      <c r="D263" s="9"/>
      <c r="E263" s="9"/>
    </row>
    <row r="264" ht="15.75" customHeight="1" spans="1:5">
      <c r="A264" s="9"/>
      <c r="B264" s="9"/>
      <c r="C264" s="9"/>
      <c r="D264" s="9"/>
      <c r="E264" s="9"/>
    </row>
    <row r="265" ht="15.75" customHeight="1" spans="1:5">
      <c r="A265" s="9"/>
      <c r="B265" s="9"/>
      <c r="C265" s="9"/>
      <c r="D265" s="9"/>
      <c r="E265" s="9"/>
    </row>
    <row r="266" ht="15.75" customHeight="1" spans="1:5">
      <c r="A266" s="9"/>
      <c r="B266" s="9"/>
      <c r="C266" s="9"/>
      <c r="D266" s="9"/>
      <c r="E266" s="9"/>
    </row>
    <row r="267" ht="15.75" customHeight="1" spans="1:5">
      <c r="A267" s="9"/>
      <c r="B267" s="9"/>
      <c r="C267" s="9"/>
      <c r="D267" s="9"/>
      <c r="E267" s="9"/>
    </row>
    <row r="268" ht="15.75" customHeight="1" spans="1:5">
      <c r="A268" s="9"/>
      <c r="B268" s="9"/>
      <c r="C268" s="9"/>
      <c r="D268" s="9"/>
      <c r="E268" s="9"/>
    </row>
    <row r="269" ht="15.75" customHeight="1" spans="1:5">
      <c r="A269" s="9"/>
      <c r="B269" s="9"/>
      <c r="C269" s="9"/>
      <c r="D269" s="9"/>
      <c r="E269" s="9"/>
    </row>
    <row r="270" ht="15.75" customHeight="1" spans="1:5">
      <c r="A270" s="9"/>
      <c r="B270" s="9"/>
      <c r="C270" s="9"/>
      <c r="D270" s="9"/>
      <c r="E270" s="9"/>
    </row>
    <row r="271" ht="15.75" customHeight="1" spans="1:5">
      <c r="A271" s="9"/>
      <c r="B271" s="9"/>
      <c r="C271" s="9"/>
      <c r="D271" s="9"/>
      <c r="E271" s="9"/>
    </row>
    <row r="272" ht="15.75" customHeight="1" spans="1:5">
      <c r="A272" s="9"/>
      <c r="B272" s="9"/>
      <c r="C272" s="9"/>
      <c r="D272" s="9"/>
      <c r="E272" s="9"/>
    </row>
    <row r="273" ht="15.75" customHeight="1" spans="1:5">
      <c r="A273" s="9"/>
      <c r="B273" s="9"/>
      <c r="C273" s="9"/>
      <c r="D273" s="9"/>
      <c r="E273" s="9"/>
    </row>
    <row r="274" ht="15.75" customHeight="1" spans="1:5">
      <c r="A274" s="9"/>
      <c r="B274" s="9"/>
      <c r="C274" s="9"/>
      <c r="D274" s="9"/>
      <c r="E274" s="9"/>
    </row>
    <row r="275" ht="15.75" customHeight="1" spans="1:5">
      <c r="A275" s="9"/>
      <c r="B275" s="9"/>
      <c r="C275" s="9"/>
      <c r="D275" s="9"/>
      <c r="E275" s="9"/>
    </row>
    <row r="276" ht="15.75" customHeight="1" spans="1:5">
      <c r="A276" s="9"/>
      <c r="B276" s="9"/>
      <c r="C276" s="9"/>
      <c r="D276" s="9"/>
      <c r="E276" s="9"/>
    </row>
    <row r="277" ht="15.75" customHeight="1" spans="1:5">
      <c r="A277" s="9"/>
      <c r="B277" s="9"/>
      <c r="C277" s="9"/>
      <c r="D277" s="9"/>
      <c r="E277" s="9"/>
    </row>
    <row r="278" ht="15.75" customHeight="1" spans="1:5">
      <c r="A278" s="9"/>
      <c r="B278" s="9"/>
      <c r="C278" s="9"/>
      <c r="D278" s="9"/>
      <c r="E278" s="9"/>
    </row>
    <row r="279" ht="15.75" customHeight="1" spans="1:5">
      <c r="A279" s="9"/>
      <c r="B279" s="9"/>
      <c r="C279" s="9"/>
      <c r="D279" s="9"/>
      <c r="E279" s="9"/>
    </row>
    <row r="280" ht="15.75" customHeight="1" spans="1:5">
      <c r="A280" s="9"/>
      <c r="B280" s="9"/>
      <c r="C280" s="9"/>
      <c r="D280" s="9"/>
      <c r="E280" s="9"/>
    </row>
    <row r="281" ht="15.75" customHeight="1" spans="1:5">
      <c r="A281" s="9"/>
      <c r="B281" s="9"/>
      <c r="C281" s="9"/>
      <c r="D281" s="9"/>
      <c r="E281" s="9"/>
    </row>
    <row r="282" ht="15.75" customHeight="1" spans="1:5">
      <c r="A282" s="9"/>
      <c r="B282" s="9"/>
      <c r="C282" s="9"/>
      <c r="D282" s="9"/>
      <c r="E282" s="9"/>
    </row>
    <row r="283" ht="15.75" customHeight="1" spans="1:5">
      <c r="A283" s="9"/>
      <c r="B283" s="9"/>
      <c r="C283" s="9"/>
      <c r="D283" s="9"/>
      <c r="E283" s="9"/>
    </row>
    <row r="284" ht="15.75" customHeight="1" spans="1:5">
      <c r="A284" s="9"/>
      <c r="B284" s="9"/>
      <c r="C284" s="9"/>
      <c r="D284" s="9"/>
      <c r="E284" s="9"/>
    </row>
    <row r="285" ht="15.75" customHeight="1" spans="1:5">
      <c r="A285" s="9"/>
      <c r="B285" s="9"/>
      <c r="C285" s="9"/>
      <c r="D285" s="9"/>
      <c r="E285" s="9"/>
    </row>
    <row r="286" ht="15.75" customHeight="1" spans="1:5">
      <c r="A286" s="9"/>
      <c r="B286" s="9"/>
      <c r="C286" s="9"/>
      <c r="D286" s="9"/>
      <c r="E286" s="9"/>
    </row>
    <row r="287" ht="15.75" customHeight="1" spans="1:5">
      <c r="A287" s="9"/>
      <c r="B287" s="9"/>
      <c r="C287" s="9"/>
      <c r="D287" s="9"/>
      <c r="E287" s="9"/>
    </row>
    <row r="288" ht="15.75" customHeight="1" spans="1:5">
      <c r="A288" s="9"/>
      <c r="B288" s="9"/>
      <c r="C288" s="9"/>
      <c r="D288" s="9"/>
      <c r="E288" s="9"/>
    </row>
    <row r="289" ht="15.75" customHeight="1" spans="1:5">
      <c r="A289" s="9"/>
      <c r="B289" s="9"/>
      <c r="C289" s="9"/>
      <c r="D289" s="9"/>
      <c r="E289" s="9"/>
    </row>
    <row r="290" ht="15.75" customHeight="1" spans="1:5">
      <c r="A290" s="9"/>
      <c r="B290" s="9"/>
      <c r="C290" s="9"/>
      <c r="D290" s="9"/>
      <c r="E290" s="9"/>
    </row>
    <row r="291" ht="15.75" customHeight="1" spans="1:5">
      <c r="A291" s="9"/>
      <c r="B291" s="9"/>
      <c r="C291" s="9"/>
      <c r="D291" s="9"/>
      <c r="E291" s="9"/>
    </row>
    <row r="292" ht="15.75" customHeight="1" spans="1:5">
      <c r="A292" s="9"/>
      <c r="B292" s="9"/>
      <c r="C292" s="9"/>
      <c r="D292" s="9"/>
      <c r="E292" s="9"/>
    </row>
    <row r="293" ht="15.75" customHeight="1" spans="1:5">
      <c r="A293" s="9"/>
      <c r="B293" s="9"/>
      <c r="C293" s="9"/>
      <c r="D293" s="9"/>
      <c r="E293" s="9"/>
    </row>
    <row r="294" ht="15.75" customHeight="1" spans="1:5">
      <c r="A294" s="9"/>
      <c r="B294" s="9"/>
      <c r="C294" s="9"/>
      <c r="D294" s="9"/>
      <c r="E294" s="9"/>
    </row>
    <row r="295" ht="15.75" customHeight="1" spans="1:5">
      <c r="A295" s="9"/>
      <c r="B295" s="9"/>
      <c r="C295" s="9"/>
      <c r="D295" s="9"/>
      <c r="E295" s="9"/>
    </row>
    <row r="296" ht="15.75" customHeight="1" spans="1:5">
      <c r="A296" s="9"/>
      <c r="B296" s="9"/>
      <c r="C296" s="9"/>
      <c r="D296" s="9"/>
      <c r="E296" s="9"/>
    </row>
    <row r="297" ht="15.75" customHeight="1" spans="1:5">
      <c r="A297" s="9"/>
      <c r="B297" s="9"/>
      <c r="C297" s="9"/>
      <c r="D297" s="9"/>
      <c r="E297" s="9"/>
    </row>
    <row r="298" ht="15.75" customHeight="1" spans="1:5">
      <c r="A298" s="9"/>
      <c r="B298" s="9"/>
      <c r="C298" s="9"/>
      <c r="D298" s="9"/>
      <c r="E298" s="9"/>
    </row>
    <row r="299" ht="15.75" customHeight="1" spans="1:5">
      <c r="A299" s="9"/>
      <c r="B299" s="9"/>
      <c r="C299" s="9"/>
      <c r="D299" s="9"/>
      <c r="E299" s="9"/>
    </row>
    <row r="300" ht="15.75" customHeight="1" spans="1:5">
      <c r="A300" s="9"/>
      <c r="B300" s="9"/>
      <c r="C300" s="9"/>
      <c r="D300" s="9"/>
      <c r="E300" s="9"/>
    </row>
    <row r="301" ht="15.75" customHeight="1" spans="1:5">
      <c r="A301" s="9"/>
      <c r="B301" s="9"/>
      <c r="C301" s="9"/>
      <c r="D301" s="9"/>
      <c r="E301" s="9"/>
    </row>
    <row r="302" ht="15.75" customHeight="1" spans="1:5">
      <c r="A302" s="9"/>
      <c r="B302" s="9"/>
      <c r="C302" s="9"/>
      <c r="D302" s="9"/>
      <c r="E302" s="9"/>
    </row>
    <row r="303" ht="15.75" customHeight="1" spans="1:5">
      <c r="A303" s="9"/>
      <c r="B303" s="9"/>
      <c r="C303" s="9"/>
      <c r="D303" s="9"/>
      <c r="E303" s="9"/>
    </row>
    <row r="304" ht="15.75" customHeight="1" spans="1:5">
      <c r="A304" s="9"/>
      <c r="B304" s="9"/>
      <c r="C304" s="9"/>
      <c r="D304" s="9"/>
      <c r="E304" s="9"/>
    </row>
    <row r="305" ht="15.75" customHeight="1" spans="1:5">
      <c r="A305" s="9"/>
      <c r="B305" s="9"/>
      <c r="C305" s="9"/>
      <c r="D305" s="9"/>
      <c r="E305" s="9"/>
    </row>
    <row r="306" ht="15.75" customHeight="1" spans="1:5">
      <c r="A306" s="9"/>
      <c r="B306" s="9"/>
      <c r="C306" s="9"/>
      <c r="D306" s="9"/>
      <c r="E306" s="9"/>
    </row>
    <row r="307" ht="15.75" customHeight="1" spans="1:5">
      <c r="A307" s="9"/>
      <c r="B307" s="9"/>
      <c r="C307" s="9"/>
      <c r="D307" s="9"/>
      <c r="E307" s="9"/>
    </row>
    <row r="308" ht="15.75" customHeight="1" spans="1:5">
      <c r="A308" s="9"/>
      <c r="B308" s="9"/>
      <c r="C308" s="9"/>
      <c r="D308" s="9"/>
      <c r="E308" s="9"/>
    </row>
    <row r="309" ht="15.75" customHeight="1" spans="1:5">
      <c r="A309" s="9"/>
      <c r="B309" s="9"/>
      <c r="C309" s="9"/>
      <c r="D309" s="9"/>
      <c r="E309" s="9"/>
    </row>
    <row r="310" ht="15.75" customHeight="1" spans="1:5">
      <c r="A310" s="9"/>
      <c r="B310" s="9"/>
      <c r="C310" s="9"/>
      <c r="D310" s="9"/>
      <c r="E310" s="9"/>
    </row>
    <row r="311" ht="15.75" customHeight="1" spans="1:5">
      <c r="A311" s="9"/>
      <c r="B311" s="9"/>
      <c r="C311" s="9"/>
      <c r="D311" s="9"/>
      <c r="E311" s="9"/>
    </row>
    <row r="312" ht="15.75" customHeight="1" spans="1:5">
      <c r="A312" s="9"/>
      <c r="B312" s="9"/>
      <c r="C312" s="9"/>
      <c r="D312" s="9"/>
      <c r="E312" s="9"/>
    </row>
    <row r="313" ht="15.75" customHeight="1" spans="1:5">
      <c r="A313" s="9"/>
      <c r="B313" s="9"/>
      <c r="C313" s="9"/>
      <c r="D313" s="9"/>
      <c r="E313" s="9"/>
    </row>
    <row r="314" ht="15.75" customHeight="1" spans="1:5">
      <c r="A314" s="9"/>
      <c r="B314" s="9"/>
      <c r="C314" s="9"/>
      <c r="D314" s="9"/>
      <c r="E314" s="9"/>
    </row>
    <row r="315" ht="15.75" customHeight="1" spans="1:5">
      <c r="A315" s="9"/>
      <c r="B315" s="9"/>
      <c r="C315" s="9"/>
      <c r="D315" s="9"/>
      <c r="E315" s="9"/>
    </row>
    <row r="316" ht="15.75" customHeight="1" spans="1:5">
      <c r="A316" s="9"/>
      <c r="B316" s="9"/>
      <c r="C316" s="9"/>
      <c r="D316" s="9"/>
      <c r="E316" s="9"/>
    </row>
    <row r="317" ht="15.75" customHeight="1" spans="1:5">
      <c r="A317" s="9"/>
      <c r="B317" s="9"/>
      <c r="C317" s="9"/>
      <c r="D317" s="9"/>
      <c r="E317" s="9"/>
    </row>
    <row r="318" ht="15.75" customHeight="1" spans="1:5">
      <c r="A318" s="9"/>
      <c r="B318" s="9"/>
      <c r="C318" s="9"/>
      <c r="D318" s="9"/>
      <c r="E318" s="9"/>
    </row>
    <row r="319" ht="15.75" customHeight="1" spans="1:5">
      <c r="A319" s="9"/>
      <c r="B319" s="9"/>
      <c r="C319" s="9"/>
      <c r="D319" s="9"/>
      <c r="E319" s="9"/>
    </row>
    <row r="320" ht="15.75" customHeight="1" spans="1:5">
      <c r="A320" s="9"/>
      <c r="B320" s="9"/>
      <c r="C320" s="9"/>
      <c r="D320" s="9"/>
      <c r="E320" s="9"/>
    </row>
    <row r="321" ht="15.75" customHeight="1" spans="1:5">
      <c r="A321" s="9"/>
      <c r="B321" s="9"/>
      <c r="C321" s="9"/>
      <c r="D321" s="9"/>
      <c r="E321" s="9"/>
    </row>
    <row r="322" ht="15.75" customHeight="1" spans="1:5">
      <c r="A322" s="9"/>
      <c r="B322" s="9"/>
      <c r="C322" s="9"/>
      <c r="D322" s="9"/>
      <c r="E322" s="9"/>
    </row>
    <row r="323" ht="15.75" customHeight="1" spans="1:5">
      <c r="A323" s="9"/>
      <c r="B323" s="9"/>
      <c r="C323" s="9"/>
      <c r="D323" s="9"/>
      <c r="E323" s="9"/>
    </row>
    <row r="324" ht="15.75" customHeight="1" spans="1:5">
      <c r="A324" s="9"/>
      <c r="B324" s="9"/>
      <c r="C324" s="9"/>
      <c r="D324" s="9"/>
      <c r="E324" s="9"/>
    </row>
    <row r="325" ht="15.75" customHeight="1" spans="1:5">
      <c r="A325" s="9"/>
      <c r="B325" s="9"/>
      <c r="C325" s="9"/>
      <c r="D325" s="9"/>
      <c r="E325" s="9"/>
    </row>
    <row r="326" ht="15.75" customHeight="1" spans="1:5">
      <c r="A326" s="9"/>
      <c r="B326" s="9"/>
      <c r="C326" s="9"/>
      <c r="D326" s="9"/>
      <c r="E326" s="9"/>
    </row>
    <row r="327" ht="15.75" customHeight="1" spans="1:5">
      <c r="A327" s="9"/>
      <c r="B327" s="9"/>
      <c r="C327" s="9"/>
      <c r="D327" s="9"/>
      <c r="E327" s="9"/>
    </row>
    <row r="328" ht="15.75" customHeight="1" spans="1:5">
      <c r="A328" s="9"/>
      <c r="B328" s="9"/>
      <c r="C328" s="9"/>
      <c r="D328" s="9"/>
      <c r="E328" s="9"/>
    </row>
    <row r="329" ht="15.75" customHeight="1" spans="1:5">
      <c r="A329" s="9"/>
      <c r="B329" s="9"/>
      <c r="C329" s="9"/>
      <c r="D329" s="9"/>
      <c r="E329" s="9"/>
    </row>
    <row r="330" ht="15.75" customHeight="1" spans="1:5">
      <c r="A330" s="9"/>
      <c r="B330" s="9"/>
      <c r="C330" s="9"/>
      <c r="D330" s="9"/>
      <c r="E330" s="9"/>
    </row>
    <row r="331" ht="15.75" customHeight="1" spans="1:5">
      <c r="A331" s="9"/>
      <c r="B331" s="9"/>
      <c r="C331" s="9"/>
      <c r="D331" s="9"/>
      <c r="E331" s="9"/>
    </row>
    <row r="332" ht="15.75" customHeight="1" spans="1:5">
      <c r="A332" s="9"/>
      <c r="B332" s="9"/>
      <c r="C332" s="9"/>
      <c r="D332" s="9"/>
      <c r="E332" s="9"/>
    </row>
    <row r="333" ht="15.75" customHeight="1" spans="1:5">
      <c r="A333" s="9"/>
      <c r="B333" s="9"/>
      <c r="C333" s="9"/>
      <c r="D333" s="9"/>
      <c r="E333" s="9"/>
    </row>
    <row r="334" ht="15.75" customHeight="1" spans="1:5">
      <c r="A334" s="9"/>
      <c r="B334" s="9"/>
      <c r="C334" s="9"/>
      <c r="D334" s="9"/>
      <c r="E334" s="9"/>
    </row>
    <row r="335" ht="15.75" customHeight="1" spans="1:5">
      <c r="A335" s="9"/>
      <c r="B335" s="9"/>
      <c r="C335" s="9"/>
      <c r="D335" s="9"/>
      <c r="E335" s="9"/>
    </row>
    <row r="336" ht="15.75" customHeight="1" spans="1:5">
      <c r="A336" s="9"/>
      <c r="B336" s="9"/>
      <c r="C336" s="9"/>
      <c r="D336" s="9"/>
      <c r="E336" s="9"/>
    </row>
    <row r="337" ht="15.75" customHeight="1" spans="1:5">
      <c r="A337" s="9"/>
      <c r="B337" s="9"/>
      <c r="C337" s="9"/>
      <c r="D337" s="9"/>
      <c r="E337" s="9"/>
    </row>
    <row r="338" ht="15.75" customHeight="1" spans="1:5">
      <c r="A338" s="9"/>
      <c r="B338" s="9"/>
      <c r="C338" s="9"/>
      <c r="D338" s="9"/>
      <c r="E338" s="9"/>
    </row>
    <row r="339" ht="15.75" customHeight="1" spans="1:5">
      <c r="A339" s="9"/>
      <c r="B339" s="9"/>
      <c r="C339" s="9"/>
      <c r="D339" s="9"/>
      <c r="E339" s="9"/>
    </row>
    <row r="340" ht="15.75" customHeight="1" spans="1:5">
      <c r="A340" s="9"/>
      <c r="B340" s="9"/>
      <c r="C340" s="9"/>
      <c r="D340" s="9"/>
      <c r="E340" s="9"/>
    </row>
    <row r="341" ht="15.75" customHeight="1" spans="1:5">
      <c r="A341" s="9"/>
      <c r="B341" s="9"/>
      <c r="C341" s="9"/>
      <c r="D341" s="9"/>
      <c r="E341" s="9"/>
    </row>
    <row r="342" ht="15.75" customHeight="1" spans="1:5">
      <c r="A342" s="9"/>
      <c r="B342" s="9"/>
      <c r="C342" s="9"/>
      <c r="D342" s="9"/>
      <c r="E342" s="9"/>
    </row>
    <row r="343" ht="15.75" customHeight="1" spans="1:5">
      <c r="A343" s="9"/>
      <c r="B343" s="9"/>
      <c r="C343" s="9"/>
      <c r="D343" s="9"/>
      <c r="E343" s="9"/>
    </row>
    <row r="344" ht="15.75" customHeight="1" spans="1:5">
      <c r="A344" s="9"/>
      <c r="B344" s="9"/>
      <c r="C344" s="9"/>
      <c r="D344" s="9"/>
      <c r="E344" s="9"/>
    </row>
    <row r="345" ht="15.75" customHeight="1" spans="1:5">
      <c r="A345" s="9"/>
      <c r="B345" s="9"/>
      <c r="C345" s="9"/>
      <c r="D345" s="9"/>
      <c r="E345" s="9"/>
    </row>
    <row r="346" ht="15.75" customHeight="1" spans="1:5">
      <c r="A346" s="9"/>
      <c r="B346" s="9"/>
      <c r="C346" s="9"/>
      <c r="D346" s="9"/>
      <c r="E346" s="9"/>
    </row>
    <row r="347" ht="15.75" customHeight="1" spans="1:5">
      <c r="A347" s="9"/>
      <c r="B347" s="9"/>
      <c r="C347" s="9"/>
      <c r="D347" s="9"/>
      <c r="E347" s="9"/>
    </row>
    <row r="348" ht="15.75" customHeight="1" spans="1:5">
      <c r="A348" s="9"/>
      <c r="B348" s="9"/>
      <c r="C348" s="9"/>
      <c r="D348" s="9"/>
      <c r="E348" s="9"/>
    </row>
    <row r="349" ht="15.75" customHeight="1" spans="1:5">
      <c r="A349" s="9"/>
      <c r="B349" s="9"/>
      <c r="C349" s="9"/>
      <c r="D349" s="9"/>
      <c r="E349" s="9"/>
    </row>
    <row r="350" ht="15.75" customHeight="1" spans="1:5">
      <c r="A350" s="9"/>
      <c r="B350" s="9"/>
      <c r="C350" s="9"/>
      <c r="D350" s="9"/>
      <c r="E350" s="9"/>
    </row>
    <row r="351" ht="15.75" customHeight="1" spans="1:5">
      <c r="A351" s="9"/>
      <c r="B351" s="9"/>
      <c r="C351" s="9"/>
      <c r="D351" s="9"/>
      <c r="E351" s="9"/>
    </row>
    <row r="352" ht="15.75" customHeight="1" spans="1:5">
      <c r="A352" s="9"/>
      <c r="B352" s="9"/>
      <c r="C352" s="9"/>
      <c r="D352" s="9"/>
      <c r="E352" s="9"/>
    </row>
    <row r="353" ht="15.75" customHeight="1" spans="1:5">
      <c r="A353" s="9"/>
      <c r="B353" s="9"/>
      <c r="C353" s="9"/>
      <c r="D353" s="9"/>
      <c r="E353" s="9"/>
    </row>
    <row r="354" ht="15.75" customHeight="1" spans="1:5">
      <c r="A354" s="9"/>
      <c r="B354" s="9"/>
      <c r="C354" s="9"/>
      <c r="D354" s="9"/>
      <c r="E354" s="9"/>
    </row>
    <row r="355" ht="15.75" customHeight="1" spans="1:5">
      <c r="A355" s="9"/>
      <c r="B355" s="9"/>
      <c r="C355" s="9"/>
      <c r="D355" s="9"/>
      <c r="E355" s="9"/>
    </row>
    <row r="356" ht="15.75" customHeight="1" spans="1:5">
      <c r="A356" s="9"/>
      <c r="B356" s="9"/>
      <c r="C356" s="9"/>
      <c r="D356" s="9"/>
      <c r="E356" s="9"/>
    </row>
    <row r="357" ht="15.75" customHeight="1" spans="1:5">
      <c r="A357" s="9"/>
      <c r="B357" s="9"/>
      <c r="C357" s="9"/>
      <c r="D357" s="9"/>
      <c r="E357" s="9"/>
    </row>
    <row r="358" ht="15.75" customHeight="1" spans="1:5">
      <c r="A358" s="9"/>
      <c r="B358" s="9"/>
      <c r="C358" s="9"/>
      <c r="D358" s="9"/>
      <c r="E358" s="9"/>
    </row>
    <row r="359" ht="15.75" customHeight="1" spans="1:5">
      <c r="A359" s="9"/>
      <c r="B359" s="9"/>
      <c r="C359" s="9"/>
      <c r="D359" s="9"/>
      <c r="E359" s="9"/>
    </row>
    <row r="360" ht="15.75" customHeight="1" spans="1:5">
      <c r="A360" s="9"/>
      <c r="B360" s="9"/>
      <c r="C360" s="9"/>
      <c r="D360" s="9"/>
      <c r="E360" s="9"/>
    </row>
    <row r="361" ht="15.75" customHeight="1" spans="1:5">
      <c r="A361" s="9"/>
      <c r="B361" s="9"/>
      <c r="C361" s="9"/>
      <c r="D361" s="9"/>
      <c r="E361" s="9"/>
    </row>
    <row r="362" ht="15.75" customHeight="1" spans="1:5">
      <c r="A362" s="9"/>
      <c r="B362" s="9"/>
      <c r="C362" s="9"/>
      <c r="D362" s="9"/>
      <c r="E362" s="9"/>
    </row>
    <row r="363" ht="15.75" customHeight="1" spans="1:5">
      <c r="A363" s="9"/>
      <c r="B363" s="9"/>
      <c r="C363" s="9"/>
      <c r="D363" s="9"/>
      <c r="E363" s="9"/>
    </row>
    <row r="364" ht="15.75" customHeight="1" spans="1:5">
      <c r="A364" s="9"/>
      <c r="B364" s="9"/>
      <c r="C364" s="9"/>
      <c r="D364" s="9"/>
      <c r="E364" s="9"/>
    </row>
    <row r="365" ht="15.75" customHeight="1" spans="1:5">
      <c r="A365" s="9"/>
      <c r="B365" s="9"/>
      <c r="C365" s="9"/>
      <c r="D365" s="9"/>
      <c r="E365" s="9"/>
    </row>
    <row r="366" ht="15.75" customHeight="1" spans="1:5">
      <c r="A366" s="9"/>
      <c r="B366" s="9"/>
      <c r="C366" s="9"/>
      <c r="D366" s="9"/>
      <c r="E366" s="9"/>
    </row>
    <row r="367" ht="15.75" customHeight="1" spans="1:5">
      <c r="A367" s="9"/>
      <c r="B367" s="9"/>
      <c r="C367" s="9"/>
      <c r="D367" s="9"/>
      <c r="E367" s="9"/>
    </row>
    <row r="368" ht="15.75" customHeight="1" spans="1:5">
      <c r="A368" s="9"/>
      <c r="B368" s="9"/>
      <c r="C368" s="9"/>
      <c r="D368" s="9"/>
      <c r="E368" s="9"/>
    </row>
    <row r="369" ht="15.75" customHeight="1" spans="1:5">
      <c r="A369" s="9"/>
      <c r="B369" s="9"/>
      <c r="C369" s="9"/>
      <c r="D369" s="9"/>
      <c r="E369" s="9"/>
    </row>
    <row r="370" ht="15.75" customHeight="1" spans="1:5">
      <c r="A370" s="9"/>
      <c r="B370" s="9"/>
      <c r="C370" s="9"/>
      <c r="D370" s="9"/>
      <c r="E370" s="9"/>
    </row>
    <row r="371" ht="15.75" customHeight="1" spans="1:5">
      <c r="A371" s="9"/>
      <c r="B371" s="9"/>
      <c r="C371" s="9"/>
      <c r="D371" s="9"/>
      <c r="E371" s="9"/>
    </row>
    <row r="372" ht="15.75" customHeight="1" spans="1:5">
      <c r="A372" s="9"/>
      <c r="B372" s="9"/>
      <c r="C372" s="9"/>
      <c r="D372" s="9"/>
      <c r="E372" s="9"/>
    </row>
    <row r="373" ht="15.75" customHeight="1" spans="1:5">
      <c r="A373" s="9"/>
      <c r="B373" s="9"/>
      <c r="C373" s="9"/>
      <c r="D373" s="9"/>
      <c r="E373" s="9"/>
    </row>
    <row r="374" ht="15.75" customHeight="1" spans="1:5">
      <c r="A374" s="9"/>
      <c r="B374" s="9"/>
      <c r="C374" s="9"/>
      <c r="D374" s="9"/>
      <c r="E374" s="9"/>
    </row>
    <row r="375" ht="15.75" customHeight="1" spans="1:5">
      <c r="A375" s="9"/>
      <c r="B375" s="9"/>
      <c r="C375" s="9"/>
      <c r="D375" s="9"/>
      <c r="E375" s="9"/>
    </row>
    <row r="376" ht="15.75" customHeight="1" spans="1:5">
      <c r="A376" s="9"/>
      <c r="B376" s="9"/>
      <c r="C376" s="9"/>
      <c r="D376" s="9"/>
      <c r="E376" s="9"/>
    </row>
    <row r="377" ht="15.75" customHeight="1" spans="1:5">
      <c r="A377" s="9"/>
      <c r="B377" s="9"/>
      <c r="C377" s="9"/>
      <c r="D377" s="9"/>
      <c r="E377" s="9"/>
    </row>
    <row r="378" ht="15.75" customHeight="1" spans="1:5">
      <c r="A378" s="9"/>
      <c r="B378" s="9"/>
      <c r="C378" s="9"/>
      <c r="D378" s="9"/>
      <c r="E378" s="9"/>
    </row>
    <row r="379" ht="15.75" customHeight="1" spans="1:5">
      <c r="A379" s="9"/>
      <c r="B379" s="9"/>
      <c r="C379" s="9"/>
      <c r="D379" s="9"/>
      <c r="E379" s="9"/>
    </row>
    <row r="380" ht="15.75" customHeight="1" spans="1:5">
      <c r="A380" s="9"/>
      <c r="B380" s="9"/>
      <c r="C380" s="9"/>
      <c r="D380" s="9"/>
      <c r="E380" s="9"/>
    </row>
    <row r="381" ht="15.75" customHeight="1" spans="1:5">
      <c r="A381" s="9"/>
      <c r="B381" s="9"/>
      <c r="C381" s="9"/>
      <c r="D381" s="9"/>
      <c r="E381" s="9"/>
    </row>
    <row r="382" ht="15.75" customHeight="1" spans="1:5">
      <c r="A382" s="9"/>
      <c r="B382" s="9"/>
      <c r="C382" s="9"/>
      <c r="D382" s="9"/>
      <c r="E382" s="9"/>
    </row>
    <row r="383" ht="15.75" customHeight="1" spans="1:5">
      <c r="A383" s="9"/>
      <c r="B383" s="9"/>
      <c r="C383" s="9"/>
      <c r="D383" s="9"/>
      <c r="E383" s="9"/>
    </row>
    <row r="384" ht="15.75" customHeight="1" spans="1:5">
      <c r="A384" s="9"/>
      <c r="B384" s="9"/>
      <c r="C384" s="9"/>
      <c r="D384" s="9"/>
      <c r="E384" s="9"/>
    </row>
    <row r="385" ht="15.75" customHeight="1" spans="1:5">
      <c r="A385" s="9"/>
      <c r="B385" s="9"/>
      <c r="C385" s="9"/>
      <c r="D385" s="9"/>
      <c r="E385" s="9"/>
    </row>
    <row r="386" ht="15.75" customHeight="1" spans="1:5">
      <c r="A386" s="9"/>
      <c r="B386" s="9"/>
      <c r="C386" s="9"/>
      <c r="D386" s="9"/>
      <c r="E386" s="9"/>
    </row>
    <row r="387" ht="15.75" customHeight="1" spans="1:5">
      <c r="A387" s="9"/>
      <c r="B387" s="9"/>
      <c r="C387" s="9"/>
      <c r="D387" s="9"/>
      <c r="E387" s="9"/>
    </row>
    <row r="388" ht="15.75" customHeight="1" spans="1:5">
      <c r="A388" s="9"/>
      <c r="B388" s="9"/>
      <c r="C388" s="9"/>
      <c r="D388" s="9"/>
      <c r="E388" s="9"/>
    </row>
    <row r="389" ht="15.75" customHeight="1" spans="1:5">
      <c r="A389" s="9"/>
      <c r="B389" s="9"/>
      <c r="C389" s="9"/>
      <c r="D389" s="9"/>
      <c r="E389" s="9"/>
    </row>
    <row r="390" ht="15.75" customHeight="1" spans="1:5">
      <c r="A390" s="9"/>
      <c r="B390" s="9"/>
      <c r="C390" s="9"/>
      <c r="D390" s="9"/>
      <c r="E390" s="9"/>
    </row>
    <row r="391" ht="15.75" customHeight="1" spans="1:5">
      <c r="A391" s="9"/>
      <c r="B391" s="9"/>
      <c r="C391" s="9"/>
      <c r="D391" s="9"/>
      <c r="E391" s="9"/>
    </row>
    <row r="392" ht="15.75" customHeight="1" spans="1:5">
      <c r="A392" s="9"/>
      <c r="B392" s="9"/>
      <c r="C392" s="9"/>
      <c r="D392" s="9"/>
      <c r="E392" s="9"/>
    </row>
    <row r="393" ht="15.75" customHeight="1" spans="1:5">
      <c r="A393" s="9"/>
      <c r="B393" s="9"/>
      <c r="C393" s="9"/>
      <c r="D393" s="9"/>
      <c r="E393" s="9"/>
    </row>
    <row r="394" ht="15.75" customHeight="1" spans="1:5">
      <c r="A394" s="9"/>
      <c r="B394" s="9"/>
      <c r="C394" s="9"/>
      <c r="D394" s="9"/>
      <c r="E394" s="9"/>
    </row>
    <row r="395" ht="15.75" customHeight="1" spans="1:5">
      <c r="A395" s="9"/>
      <c r="B395" s="9"/>
      <c r="C395" s="9"/>
      <c r="D395" s="9"/>
      <c r="E395" s="9"/>
    </row>
    <row r="396" ht="15.75" customHeight="1" spans="1:5">
      <c r="A396" s="9"/>
      <c r="B396" s="9"/>
      <c r="C396" s="9"/>
      <c r="D396" s="9"/>
      <c r="E396" s="9"/>
    </row>
    <row r="397" ht="15.75" customHeight="1" spans="1:5">
      <c r="A397" s="9"/>
      <c r="B397" s="9"/>
      <c r="C397" s="9"/>
      <c r="D397" s="9"/>
      <c r="E397" s="9"/>
    </row>
    <row r="398" ht="15.75" customHeight="1" spans="1:5">
      <c r="A398" s="9"/>
      <c r="B398" s="9"/>
      <c r="C398" s="9"/>
      <c r="D398" s="9"/>
      <c r="E398" s="9"/>
    </row>
    <row r="399" ht="15.75" customHeight="1" spans="1:5">
      <c r="A399" s="9"/>
      <c r="B399" s="9"/>
      <c r="C399" s="9"/>
      <c r="D399" s="9"/>
      <c r="E399" s="9"/>
    </row>
    <row r="400" ht="15.75" customHeight="1" spans="1:5">
      <c r="A400" s="9"/>
      <c r="B400" s="9"/>
      <c r="C400" s="9"/>
      <c r="D400" s="9"/>
      <c r="E400" s="9"/>
    </row>
    <row r="401" ht="15.75" customHeight="1" spans="1:5">
      <c r="A401" s="9"/>
      <c r="B401" s="9"/>
      <c r="C401" s="9"/>
      <c r="D401" s="9"/>
      <c r="E401" s="9"/>
    </row>
    <row r="402" ht="15.75" customHeight="1" spans="1:5">
      <c r="A402" s="9"/>
      <c r="B402" s="9"/>
      <c r="C402" s="9"/>
      <c r="D402" s="9"/>
      <c r="E402" s="9"/>
    </row>
    <row r="403" ht="15.75" customHeight="1" spans="1:5">
      <c r="A403" s="9"/>
      <c r="B403" s="9"/>
      <c r="C403" s="9"/>
      <c r="D403" s="9"/>
      <c r="E403" s="9"/>
    </row>
    <row r="404" ht="15.75" customHeight="1" spans="1:5">
      <c r="A404" s="9"/>
      <c r="B404" s="9"/>
      <c r="C404" s="9"/>
      <c r="D404" s="9"/>
      <c r="E404" s="9"/>
    </row>
    <row r="405" ht="15.75" customHeight="1" spans="1:5">
      <c r="A405" s="9"/>
      <c r="B405" s="9"/>
      <c r="C405" s="9"/>
      <c r="D405" s="9"/>
      <c r="E405" s="9"/>
    </row>
    <row r="406" ht="15.75" customHeight="1" spans="1:5">
      <c r="A406" s="9"/>
      <c r="B406" s="9"/>
      <c r="C406" s="9"/>
      <c r="D406" s="9"/>
      <c r="E406" s="9"/>
    </row>
    <row r="407" ht="15.75" customHeight="1" spans="1:5">
      <c r="A407" s="9"/>
      <c r="B407" s="9"/>
      <c r="C407" s="9"/>
      <c r="D407" s="9"/>
      <c r="E407" s="9"/>
    </row>
    <row r="408" ht="15.75" customHeight="1" spans="1:5">
      <c r="A408" s="9"/>
      <c r="B408" s="9"/>
      <c r="C408" s="9"/>
      <c r="D408" s="9"/>
      <c r="E408" s="9"/>
    </row>
    <row r="409" ht="15.75" customHeight="1" spans="1:5">
      <c r="A409" s="9"/>
      <c r="B409" s="9"/>
      <c r="C409" s="9"/>
      <c r="D409" s="9"/>
      <c r="E409" s="9"/>
    </row>
    <row r="410" ht="15.75" customHeight="1" spans="1:5">
      <c r="A410" s="9"/>
      <c r="B410" s="9"/>
      <c r="C410" s="9"/>
      <c r="D410" s="9"/>
      <c r="E410" s="9"/>
    </row>
    <row r="411" ht="15.75" customHeight="1" spans="1:5">
      <c r="A411" s="9"/>
      <c r="B411" s="9"/>
      <c r="C411" s="9"/>
      <c r="D411" s="9"/>
      <c r="E411" s="9"/>
    </row>
    <row r="412" ht="15.75" customHeight="1" spans="1:5">
      <c r="A412" s="9"/>
      <c r="B412" s="9"/>
      <c r="C412" s="9"/>
      <c r="D412" s="9"/>
      <c r="E412" s="9"/>
    </row>
    <row r="413" ht="15.75" customHeight="1" spans="1:5">
      <c r="A413" s="9"/>
      <c r="B413" s="9"/>
      <c r="C413" s="9"/>
      <c r="D413" s="9"/>
      <c r="E413" s="9"/>
    </row>
    <row r="414" ht="15.75" customHeight="1" spans="1:5">
      <c r="A414" s="9"/>
      <c r="B414" s="9"/>
      <c r="C414" s="9"/>
      <c r="D414" s="9"/>
      <c r="E414" s="9"/>
    </row>
    <row r="415" ht="15.75" customHeight="1" spans="1:5">
      <c r="A415" s="9"/>
      <c r="B415" s="9"/>
      <c r="C415" s="9"/>
      <c r="D415" s="9"/>
      <c r="E415" s="9"/>
    </row>
    <row r="416" ht="15.75" customHeight="1" spans="1:5">
      <c r="A416" s="9"/>
      <c r="B416" s="9"/>
      <c r="C416" s="9"/>
      <c r="D416" s="9"/>
      <c r="E416" s="9"/>
    </row>
    <row r="417" ht="15.75" customHeight="1" spans="1:5">
      <c r="A417" s="9"/>
      <c r="B417" s="9"/>
      <c r="C417" s="9"/>
      <c r="D417" s="9"/>
      <c r="E417" s="9"/>
    </row>
    <row r="418" ht="15.75" customHeight="1" spans="1:5">
      <c r="A418" s="9"/>
      <c r="B418" s="9"/>
      <c r="C418" s="9"/>
      <c r="D418" s="9"/>
      <c r="E418" s="9"/>
    </row>
    <row r="419" ht="15.75" customHeight="1" spans="1:5">
      <c r="A419" s="9"/>
      <c r="B419" s="9"/>
      <c r="C419" s="9"/>
      <c r="D419" s="9"/>
      <c r="E419" s="9"/>
    </row>
    <row r="420" ht="15.75" customHeight="1" spans="1:5">
      <c r="A420" s="9"/>
      <c r="B420" s="9"/>
      <c r="C420" s="9"/>
      <c r="D420" s="9"/>
      <c r="E420" s="9"/>
    </row>
    <row r="421" ht="15.75" customHeight="1" spans="1:5">
      <c r="A421" s="9"/>
      <c r="B421" s="9"/>
      <c r="C421" s="9"/>
      <c r="D421" s="9"/>
      <c r="E421" s="9"/>
    </row>
    <row r="422" ht="15.75" customHeight="1" spans="1:5">
      <c r="A422" s="9"/>
      <c r="B422" s="9"/>
      <c r="C422" s="9"/>
      <c r="D422" s="9"/>
      <c r="E422" s="9"/>
    </row>
    <row r="423" ht="15.75" customHeight="1" spans="1:5">
      <c r="A423" s="9"/>
      <c r="B423" s="9"/>
      <c r="C423" s="9"/>
      <c r="D423" s="9"/>
      <c r="E423" s="9"/>
    </row>
    <row r="424" ht="15.75" customHeight="1" spans="1:5">
      <c r="A424" s="9"/>
      <c r="B424" s="9"/>
      <c r="C424" s="9"/>
      <c r="D424" s="9"/>
      <c r="E424" s="9"/>
    </row>
    <row r="425" ht="15.75" customHeight="1" spans="1:5">
      <c r="A425" s="9"/>
      <c r="B425" s="9"/>
      <c r="C425" s="9"/>
      <c r="D425" s="9"/>
      <c r="E425" s="9"/>
    </row>
    <row r="426" ht="15.75" customHeight="1" spans="1:5">
      <c r="A426" s="9"/>
      <c r="B426" s="9"/>
      <c r="C426" s="9"/>
      <c r="D426" s="9"/>
      <c r="E426" s="9"/>
    </row>
    <row r="427" ht="15.75" customHeight="1" spans="1:5">
      <c r="A427" s="9"/>
      <c r="B427" s="9"/>
      <c r="C427" s="9"/>
      <c r="D427" s="9"/>
      <c r="E427" s="9"/>
    </row>
    <row r="428" ht="15.75" customHeight="1" spans="1:5">
      <c r="A428" s="9"/>
      <c r="B428" s="9"/>
      <c r="C428" s="9"/>
      <c r="D428" s="9"/>
      <c r="E428" s="9"/>
    </row>
    <row r="429" ht="15.75" customHeight="1" spans="1:5">
      <c r="A429" s="9"/>
      <c r="B429" s="9"/>
      <c r="C429" s="9"/>
      <c r="D429" s="9"/>
      <c r="E429" s="9"/>
    </row>
    <row r="430" ht="15.75" customHeight="1" spans="1:5">
      <c r="A430" s="9"/>
      <c r="B430" s="9"/>
      <c r="C430" s="9"/>
      <c r="D430" s="9"/>
      <c r="E430" s="9"/>
    </row>
    <row r="431" ht="15.75" customHeight="1" spans="1:5">
      <c r="A431" s="9"/>
      <c r="B431" s="9"/>
      <c r="C431" s="9"/>
      <c r="D431" s="9"/>
      <c r="E431" s="9"/>
    </row>
    <row r="432" ht="15.75" customHeight="1" spans="1:5">
      <c r="A432" s="9"/>
      <c r="B432" s="9"/>
      <c r="C432" s="9"/>
      <c r="D432" s="9"/>
      <c r="E432" s="9"/>
    </row>
    <row r="433" ht="15.75" customHeight="1" spans="1:5">
      <c r="A433" s="9"/>
      <c r="B433" s="9"/>
      <c r="C433" s="9"/>
      <c r="D433" s="9"/>
      <c r="E433" s="9"/>
    </row>
    <row r="434" ht="15.75" customHeight="1" spans="1:5">
      <c r="A434" s="9"/>
      <c r="B434" s="9"/>
      <c r="C434" s="9"/>
      <c r="D434" s="9"/>
      <c r="E434" s="9"/>
    </row>
    <row r="435" ht="15.75" customHeight="1" spans="1:5">
      <c r="A435" s="9"/>
      <c r="B435" s="9"/>
      <c r="C435" s="9"/>
      <c r="D435" s="9"/>
      <c r="E435" s="9"/>
    </row>
    <row r="436" ht="15.75" customHeight="1" spans="1:5">
      <c r="A436" s="9"/>
      <c r="B436" s="9"/>
      <c r="C436" s="9"/>
      <c r="D436" s="9"/>
      <c r="E436" s="9"/>
    </row>
    <row r="437" ht="15.75" customHeight="1" spans="1:5">
      <c r="A437" s="9"/>
      <c r="B437" s="9"/>
      <c r="C437" s="9"/>
      <c r="D437" s="9"/>
      <c r="E437" s="9"/>
    </row>
    <row r="438" ht="15.75" customHeight="1" spans="1:5">
      <c r="A438" s="9"/>
      <c r="B438" s="9"/>
      <c r="C438" s="9"/>
      <c r="D438" s="9"/>
      <c r="E438" s="9"/>
    </row>
    <row r="439" ht="15.75" customHeight="1" spans="1:5">
      <c r="A439" s="9"/>
      <c r="B439" s="9"/>
      <c r="C439" s="9"/>
      <c r="D439" s="9"/>
      <c r="E439" s="9"/>
    </row>
    <row r="440" ht="15.75" customHeight="1" spans="1:5">
      <c r="A440" s="9"/>
      <c r="B440" s="9"/>
      <c r="C440" s="9"/>
      <c r="D440" s="9"/>
      <c r="E440" s="9"/>
    </row>
    <row r="441" ht="15.75" customHeight="1" spans="1:5">
      <c r="A441" s="9"/>
      <c r="B441" s="9"/>
      <c r="C441" s="9"/>
      <c r="D441" s="9"/>
      <c r="E441" s="9"/>
    </row>
    <row r="442" ht="15.75" customHeight="1" spans="1:5">
      <c r="A442" s="9"/>
      <c r="B442" s="9"/>
      <c r="C442" s="9"/>
      <c r="D442" s="9"/>
      <c r="E442" s="9"/>
    </row>
    <row r="443" ht="15.75" customHeight="1" spans="1:5">
      <c r="A443" s="9"/>
      <c r="B443" s="9"/>
      <c r="C443" s="9"/>
      <c r="D443" s="9"/>
      <c r="E443" s="9"/>
    </row>
    <row r="444" ht="15.75" customHeight="1" spans="1:5">
      <c r="A444" s="9"/>
      <c r="B444" s="9"/>
      <c r="C444" s="9"/>
      <c r="D444" s="9"/>
      <c r="E444" s="9"/>
    </row>
    <row r="445" ht="15.75" customHeight="1" spans="1:5">
      <c r="A445" s="9"/>
      <c r="B445" s="9"/>
      <c r="C445" s="9"/>
      <c r="D445" s="9"/>
      <c r="E445" s="9"/>
    </row>
    <row r="446" ht="15.75" customHeight="1" spans="1:5">
      <c r="A446" s="9"/>
      <c r="B446" s="9"/>
      <c r="C446" s="9"/>
      <c r="D446" s="9"/>
      <c r="E446" s="9"/>
    </row>
    <row r="447" ht="15.75" customHeight="1" spans="1:5">
      <c r="A447" s="9"/>
      <c r="B447" s="9"/>
      <c r="C447" s="9"/>
      <c r="D447" s="9"/>
      <c r="E447" s="9"/>
    </row>
    <row r="448" ht="15.75" customHeight="1" spans="1:5">
      <c r="A448" s="9"/>
      <c r="B448" s="9"/>
      <c r="C448" s="9"/>
      <c r="D448" s="9"/>
      <c r="E448" s="9"/>
    </row>
    <row r="449" ht="15.75" customHeight="1" spans="1:5">
      <c r="A449" s="9"/>
      <c r="B449" s="9"/>
      <c r="C449" s="9"/>
      <c r="D449" s="9"/>
      <c r="E449" s="9"/>
    </row>
    <row r="450" ht="15.75" customHeight="1" spans="1:5">
      <c r="A450" s="9"/>
      <c r="B450" s="9"/>
      <c r="C450" s="9"/>
      <c r="D450" s="9"/>
      <c r="E450" s="9"/>
    </row>
    <row r="451" ht="15.75" customHeight="1" spans="1:5">
      <c r="A451" s="9"/>
      <c r="B451" s="9"/>
      <c r="C451" s="9"/>
      <c r="D451" s="9"/>
      <c r="E451" s="9"/>
    </row>
    <row r="452" ht="15.75" customHeight="1" spans="1:5">
      <c r="A452" s="9"/>
      <c r="B452" s="9"/>
      <c r="C452" s="9"/>
      <c r="D452" s="9"/>
      <c r="E452" s="9"/>
    </row>
    <row r="453" ht="15.75" customHeight="1" spans="1:5">
      <c r="A453" s="9"/>
      <c r="B453" s="9"/>
      <c r="C453" s="9"/>
      <c r="D453" s="9"/>
      <c r="E453" s="9"/>
    </row>
    <row r="454" ht="15.75" customHeight="1" spans="1:5">
      <c r="A454" s="9"/>
      <c r="B454" s="9"/>
      <c r="C454" s="9"/>
      <c r="D454" s="9"/>
      <c r="E454" s="9"/>
    </row>
    <row r="455" ht="15.75" customHeight="1" spans="1:5">
      <c r="A455" s="9"/>
      <c r="B455" s="9"/>
      <c r="C455" s="9"/>
      <c r="D455" s="9"/>
      <c r="E455" s="9"/>
    </row>
    <row r="456" ht="15.75" customHeight="1" spans="1:5">
      <c r="A456" s="9"/>
      <c r="B456" s="9"/>
      <c r="C456" s="9"/>
      <c r="D456" s="9"/>
      <c r="E456" s="9"/>
    </row>
    <row r="457" ht="15.75" customHeight="1" spans="1:5">
      <c r="A457" s="9"/>
      <c r="B457" s="9"/>
      <c r="C457" s="9"/>
      <c r="D457" s="9"/>
      <c r="E457" s="9"/>
    </row>
    <row r="458" ht="15.75" customHeight="1" spans="1:5">
      <c r="A458" s="9"/>
      <c r="B458" s="9"/>
      <c r="C458" s="9"/>
      <c r="D458" s="9"/>
      <c r="E458" s="9"/>
    </row>
    <row r="459" ht="15.75" customHeight="1" spans="1:5">
      <c r="A459" s="9"/>
      <c r="B459" s="9"/>
      <c r="C459" s="9"/>
      <c r="D459" s="9"/>
      <c r="E459" s="9"/>
    </row>
    <row r="460" ht="15.75" customHeight="1" spans="1:5">
      <c r="A460" s="9"/>
      <c r="B460" s="9"/>
      <c r="C460" s="9"/>
      <c r="D460" s="9"/>
      <c r="E460" s="9"/>
    </row>
    <row r="461" ht="15.75" customHeight="1" spans="1:5">
      <c r="A461" s="9"/>
      <c r="B461" s="9"/>
      <c r="C461" s="9"/>
      <c r="D461" s="9"/>
      <c r="E461" s="9"/>
    </row>
    <row r="462" ht="15.75" customHeight="1" spans="1:5">
      <c r="A462" s="9"/>
      <c r="B462" s="9"/>
      <c r="C462" s="9"/>
      <c r="D462" s="9"/>
      <c r="E462" s="9"/>
    </row>
    <row r="463" ht="15.75" customHeight="1" spans="1:5">
      <c r="A463" s="9"/>
      <c r="B463" s="9"/>
      <c r="C463" s="9"/>
      <c r="D463" s="9"/>
      <c r="E463" s="9"/>
    </row>
    <row r="464" ht="15.75" customHeight="1" spans="1:5">
      <c r="A464" s="9"/>
      <c r="B464" s="9"/>
      <c r="C464" s="9"/>
      <c r="D464" s="9"/>
      <c r="E464" s="9"/>
    </row>
    <row r="465" ht="15.75" customHeight="1" spans="1:5">
      <c r="A465" s="9"/>
      <c r="B465" s="9"/>
      <c r="C465" s="9"/>
      <c r="D465" s="9"/>
      <c r="E465" s="9"/>
    </row>
    <row r="466" ht="15.75" customHeight="1" spans="1:5">
      <c r="A466" s="9"/>
      <c r="B466" s="9"/>
      <c r="C466" s="9"/>
      <c r="D466" s="9"/>
      <c r="E466" s="9"/>
    </row>
    <row r="467" ht="15.75" customHeight="1" spans="1:5">
      <c r="A467" s="9"/>
      <c r="B467" s="9"/>
      <c r="C467" s="9"/>
      <c r="D467" s="9"/>
      <c r="E467" s="9"/>
    </row>
    <row r="468" ht="15.75" customHeight="1" spans="1:5">
      <c r="A468" s="9"/>
      <c r="B468" s="9"/>
      <c r="C468" s="9"/>
      <c r="D468" s="9"/>
      <c r="E468" s="9"/>
    </row>
    <row r="469" ht="15.75" customHeight="1" spans="1:5">
      <c r="A469" s="9"/>
      <c r="B469" s="9"/>
      <c r="C469" s="9"/>
      <c r="D469" s="9"/>
      <c r="E469" s="9"/>
    </row>
    <row r="470" ht="15.75" customHeight="1" spans="1:5">
      <c r="A470" s="9"/>
      <c r="B470" s="9"/>
      <c r="C470" s="9"/>
      <c r="D470" s="9"/>
      <c r="E470" s="9"/>
    </row>
    <row r="471" ht="15.75" customHeight="1" spans="1:5">
      <c r="A471" s="9"/>
      <c r="B471" s="9"/>
      <c r="C471" s="9"/>
      <c r="D471" s="9"/>
      <c r="E471" s="9"/>
    </row>
    <row r="472" ht="15.75" customHeight="1" spans="1:5">
      <c r="A472" s="9"/>
      <c r="B472" s="9"/>
      <c r="C472" s="9"/>
      <c r="D472" s="9"/>
      <c r="E472" s="9"/>
    </row>
    <row r="473" ht="15.75" customHeight="1" spans="1:5">
      <c r="A473" s="9"/>
      <c r="B473" s="9"/>
      <c r="C473" s="9"/>
      <c r="D473" s="9"/>
      <c r="E473" s="9"/>
    </row>
    <row r="474" ht="15.75" customHeight="1" spans="1:5">
      <c r="A474" s="9"/>
      <c r="B474" s="9"/>
      <c r="C474" s="9"/>
      <c r="D474" s="9"/>
      <c r="E474" s="9"/>
    </row>
    <row r="475" ht="15.75" customHeight="1" spans="1:5">
      <c r="A475" s="9"/>
      <c r="B475" s="9"/>
      <c r="C475" s="9"/>
      <c r="D475" s="9"/>
      <c r="E475" s="9"/>
    </row>
    <row r="476" ht="15.75" customHeight="1" spans="1:5">
      <c r="A476" s="9"/>
      <c r="B476" s="9"/>
      <c r="C476" s="9"/>
      <c r="D476" s="9"/>
      <c r="E476" s="9"/>
    </row>
    <row r="477" ht="15.75" customHeight="1" spans="1:5">
      <c r="A477" s="9"/>
      <c r="B477" s="9"/>
      <c r="C477" s="9"/>
      <c r="D477" s="9"/>
      <c r="E477" s="9"/>
    </row>
    <row r="478" ht="15.75" customHeight="1" spans="1:5">
      <c r="A478" s="9"/>
      <c r="B478" s="9"/>
      <c r="C478" s="9"/>
      <c r="D478" s="9"/>
      <c r="E478" s="9"/>
    </row>
    <row r="479" ht="15.75" customHeight="1" spans="1:5">
      <c r="A479" s="9"/>
      <c r="B479" s="9"/>
      <c r="C479" s="9"/>
      <c r="D479" s="9"/>
      <c r="E479" s="9"/>
    </row>
    <row r="480" ht="15.75" customHeight="1" spans="1:5">
      <c r="A480" s="9"/>
      <c r="B480" s="9"/>
      <c r="C480" s="9"/>
      <c r="D480" s="9"/>
      <c r="E480" s="9"/>
    </row>
    <row r="481" ht="15.75" customHeight="1" spans="1:5">
      <c r="A481" s="9"/>
      <c r="B481" s="9"/>
      <c r="C481" s="9"/>
      <c r="D481" s="9"/>
      <c r="E481" s="9"/>
    </row>
    <row r="482" ht="15.75" customHeight="1" spans="1:5">
      <c r="A482" s="9"/>
      <c r="B482" s="9"/>
      <c r="C482" s="9"/>
      <c r="D482" s="9"/>
      <c r="E482" s="9"/>
    </row>
    <row r="483" ht="15.75" customHeight="1" spans="1:5">
      <c r="A483" s="9"/>
      <c r="B483" s="9"/>
      <c r="C483" s="9"/>
      <c r="D483" s="9"/>
      <c r="E483" s="9"/>
    </row>
    <row r="484" ht="15.75" customHeight="1" spans="1:5">
      <c r="A484" s="9"/>
      <c r="B484" s="9"/>
      <c r="C484" s="9"/>
      <c r="D484" s="9"/>
      <c r="E484" s="9"/>
    </row>
    <row r="485" ht="15.75" customHeight="1" spans="1:5">
      <c r="A485" s="9"/>
      <c r="B485" s="9"/>
      <c r="C485" s="9"/>
      <c r="D485" s="9"/>
      <c r="E485" s="9"/>
    </row>
    <row r="486" ht="15.75" customHeight="1" spans="1:5">
      <c r="A486" s="9"/>
      <c r="B486" s="9"/>
      <c r="C486" s="9"/>
      <c r="D486" s="9"/>
      <c r="E486" s="9"/>
    </row>
    <row r="487" ht="15.75" customHeight="1" spans="1:5">
      <c r="A487" s="9"/>
      <c r="B487" s="9"/>
      <c r="C487" s="9"/>
      <c r="D487" s="9"/>
      <c r="E487" s="9"/>
    </row>
    <row r="488" ht="15.75" customHeight="1" spans="1:5">
      <c r="A488" s="9"/>
      <c r="B488" s="9"/>
      <c r="C488" s="9"/>
      <c r="D488" s="9"/>
      <c r="E488" s="9"/>
    </row>
    <row r="489" ht="15.75" customHeight="1" spans="1:5">
      <c r="A489" s="9"/>
      <c r="B489" s="9"/>
      <c r="C489" s="9"/>
      <c r="D489" s="9"/>
      <c r="E489" s="9"/>
    </row>
    <row r="490" ht="15.75" customHeight="1" spans="1:5">
      <c r="A490" s="9"/>
      <c r="B490" s="9"/>
      <c r="C490" s="9"/>
      <c r="D490" s="9"/>
      <c r="E490" s="9"/>
    </row>
    <row r="491" ht="15.75" customHeight="1" spans="1:5">
      <c r="A491" s="9"/>
      <c r="B491" s="9"/>
      <c r="C491" s="9"/>
      <c r="D491" s="9"/>
      <c r="E491" s="9"/>
    </row>
    <row r="492" ht="15.75" customHeight="1" spans="1:5">
      <c r="A492" s="9"/>
      <c r="B492" s="9"/>
      <c r="C492" s="9"/>
      <c r="D492" s="9"/>
      <c r="E492" s="9"/>
    </row>
    <row r="493" ht="15.75" customHeight="1" spans="1:5">
      <c r="A493" s="9"/>
      <c r="B493" s="9"/>
      <c r="C493" s="9"/>
      <c r="D493" s="9"/>
      <c r="E493" s="9"/>
    </row>
    <row r="494" ht="15.75" customHeight="1" spans="1:5">
      <c r="A494" s="9"/>
      <c r="B494" s="9"/>
      <c r="C494" s="9"/>
      <c r="D494" s="9"/>
      <c r="E494" s="9"/>
    </row>
    <row r="495" ht="15.75" customHeight="1" spans="1:5">
      <c r="A495" s="9"/>
      <c r="B495" s="9"/>
      <c r="C495" s="9"/>
      <c r="D495" s="9"/>
      <c r="E495" s="9"/>
    </row>
    <row r="496" ht="15.75" customHeight="1" spans="1:5">
      <c r="A496" s="9"/>
      <c r="B496" s="9"/>
      <c r="C496" s="9"/>
      <c r="D496" s="9"/>
      <c r="E496" s="9"/>
    </row>
    <row r="497" ht="15.75" customHeight="1" spans="1:5">
      <c r="A497" s="9"/>
      <c r="B497" s="9"/>
      <c r="C497" s="9"/>
      <c r="D497" s="9"/>
      <c r="E497" s="9"/>
    </row>
    <row r="498" ht="15.75" customHeight="1" spans="1:5">
      <c r="A498" s="9"/>
      <c r="B498" s="9"/>
      <c r="C498" s="9"/>
      <c r="D498" s="9"/>
      <c r="E498" s="9"/>
    </row>
    <row r="499" ht="15.75" customHeight="1" spans="1:5">
      <c r="A499" s="9"/>
      <c r="B499" s="9"/>
      <c r="C499" s="9"/>
      <c r="D499" s="9"/>
      <c r="E499" s="9"/>
    </row>
    <row r="500" ht="15.75" customHeight="1" spans="1:5">
      <c r="A500" s="9"/>
      <c r="B500" s="9"/>
      <c r="C500" s="9"/>
      <c r="D500" s="9"/>
      <c r="E500" s="9"/>
    </row>
    <row r="501" ht="15.75" customHeight="1" spans="1:5">
      <c r="A501" s="9"/>
      <c r="B501" s="9"/>
      <c r="C501" s="9"/>
      <c r="D501" s="9"/>
      <c r="E501" s="9"/>
    </row>
    <row r="502" ht="15.75" customHeight="1" spans="1:5">
      <c r="A502" s="9"/>
      <c r="B502" s="9"/>
      <c r="C502" s="9"/>
      <c r="D502" s="9"/>
      <c r="E502" s="9"/>
    </row>
    <row r="503" ht="15.75" customHeight="1" spans="1:5">
      <c r="A503" s="9"/>
      <c r="B503" s="9"/>
      <c r="C503" s="9"/>
      <c r="D503" s="9"/>
      <c r="E503" s="9"/>
    </row>
    <row r="504" ht="15.75" customHeight="1" spans="1:5">
      <c r="A504" s="9"/>
      <c r="B504" s="9"/>
      <c r="C504" s="9"/>
      <c r="D504" s="9"/>
      <c r="E504" s="9"/>
    </row>
    <row r="505" ht="15.75" customHeight="1" spans="1:5">
      <c r="A505" s="9"/>
      <c r="B505" s="9"/>
      <c r="C505" s="9"/>
      <c r="D505" s="9"/>
      <c r="E505" s="9"/>
    </row>
    <row r="506" ht="15.75" customHeight="1" spans="1:5">
      <c r="A506" s="9"/>
      <c r="B506" s="9"/>
      <c r="C506" s="9"/>
      <c r="D506" s="9"/>
      <c r="E506" s="9"/>
    </row>
    <row r="507" ht="15.75" customHeight="1" spans="1:5">
      <c r="A507" s="9"/>
      <c r="B507" s="9"/>
      <c r="C507" s="9"/>
      <c r="D507" s="9"/>
      <c r="E507" s="9"/>
    </row>
    <row r="508" ht="15.75" customHeight="1" spans="1:5">
      <c r="A508" s="9"/>
      <c r="B508" s="9"/>
      <c r="C508" s="9"/>
      <c r="D508" s="9"/>
      <c r="E508" s="9"/>
    </row>
    <row r="509" ht="15.75" customHeight="1" spans="1:5">
      <c r="A509" s="9"/>
      <c r="B509" s="9"/>
      <c r="C509" s="9"/>
      <c r="D509" s="9"/>
      <c r="E509" s="9"/>
    </row>
    <row r="510" ht="15.75" customHeight="1" spans="1:5">
      <c r="A510" s="9"/>
      <c r="B510" s="9"/>
      <c r="C510" s="9"/>
      <c r="D510" s="9"/>
      <c r="E510" s="9"/>
    </row>
    <row r="511" ht="15.75" customHeight="1" spans="1:5">
      <c r="A511" s="9"/>
      <c r="B511" s="9"/>
      <c r="C511" s="9"/>
      <c r="D511" s="9"/>
      <c r="E511" s="9"/>
    </row>
    <row r="512" ht="15.75" customHeight="1" spans="1:5">
      <c r="A512" s="9"/>
      <c r="B512" s="9"/>
      <c r="C512" s="9"/>
      <c r="D512" s="9"/>
      <c r="E512" s="9"/>
    </row>
    <row r="513" ht="15.75" customHeight="1" spans="1:5">
      <c r="A513" s="9"/>
      <c r="B513" s="9"/>
      <c r="C513" s="9"/>
      <c r="D513" s="9"/>
      <c r="E513" s="9"/>
    </row>
    <row r="514" ht="15.75" customHeight="1" spans="1:5">
      <c r="A514" s="9"/>
      <c r="B514" s="9"/>
      <c r="C514" s="9"/>
      <c r="D514" s="9"/>
      <c r="E514" s="9"/>
    </row>
    <row r="515" ht="15.75" customHeight="1" spans="1:5">
      <c r="A515" s="9"/>
      <c r="B515" s="9"/>
      <c r="C515" s="9"/>
      <c r="D515" s="9"/>
      <c r="E515" s="9"/>
    </row>
    <row r="516" ht="15.75" customHeight="1" spans="1:5">
      <c r="A516" s="9"/>
      <c r="B516" s="9"/>
      <c r="C516" s="9"/>
      <c r="D516" s="9"/>
      <c r="E516" s="9"/>
    </row>
    <row r="517" ht="15.75" customHeight="1" spans="1:5">
      <c r="A517" s="9"/>
      <c r="B517" s="9"/>
      <c r="C517" s="9"/>
      <c r="D517" s="9"/>
      <c r="E517" s="9"/>
    </row>
    <row r="518" ht="15.75" customHeight="1" spans="1:5">
      <c r="A518" s="9"/>
      <c r="B518" s="9"/>
      <c r="C518" s="9"/>
      <c r="D518" s="9"/>
      <c r="E518" s="9"/>
    </row>
    <row r="519" ht="15.75" customHeight="1" spans="1:5">
      <c r="A519" s="9"/>
      <c r="B519" s="9"/>
      <c r="C519" s="9"/>
      <c r="D519" s="9"/>
      <c r="E519" s="9"/>
    </row>
    <row r="520" ht="15.75" customHeight="1" spans="1:5">
      <c r="A520" s="9"/>
      <c r="B520" s="9"/>
      <c r="C520" s="9"/>
      <c r="D520" s="9"/>
      <c r="E520" s="9"/>
    </row>
    <row r="521" ht="15.75" customHeight="1" spans="1:5">
      <c r="A521" s="9"/>
      <c r="B521" s="9"/>
      <c r="C521" s="9"/>
      <c r="D521" s="9"/>
      <c r="E521" s="9"/>
    </row>
    <row r="522" ht="15.75" customHeight="1" spans="1:5">
      <c r="A522" s="9"/>
      <c r="B522" s="9"/>
      <c r="C522" s="9"/>
      <c r="D522" s="9"/>
      <c r="E522" s="9"/>
    </row>
    <row r="523" ht="15.75" customHeight="1" spans="1:5">
      <c r="A523" s="9"/>
      <c r="B523" s="9"/>
      <c r="C523" s="9"/>
      <c r="D523" s="9"/>
      <c r="E523" s="9"/>
    </row>
    <row r="524" ht="15.75" customHeight="1" spans="1:5">
      <c r="A524" s="9"/>
      <c r="B524" s="9"/>
      <c r="C524" s="9"/>
      <c r="D524" s="9"/>
      <c r="E524" s="9"/>
    </row>
    <row r="525" ht="15.75" customHeight="1" spans="1:5">
      <c r="A525" s="9"/>
      <c r="B525" s="9"/>
      <c r="C525" s="9"/>
      <c r="D525" s="9"/>
      <c r="E525" s="9"/>
    </row>
    <row r="526" ht="15.75" customHeight="1" spans="1:5">
      <c r="A526" s="9"/>
      <c r="B526" s="9"/>
      <c r="C526" s="9"/>
      <c r="D526" s="9"/>
      <c r="E526" s="9"/>
    </row>
    <row r="527" ht="15.75" customHeight="1" spans="1:5">
      <c r="A527" s="9"/>
      <c r="B527" s="9"/>
      <c r="C527" s="9"/>
      <c r="D527" s="9"/>
      <c r="E527" s="9"/>
    </row>
    <row r="528" ht="15.75" customHeight="1" spans="1:5">
      <c r="A528" s="9"/>
      <c r="B528" s="9"/>
      <c r="C528" s="9"/>
      <c r="D528" s="9"/>
      <c r="E528" s="9"/>
    </row>
    <row r="529" ht="15.75" customHeight="1" spans="1:5">
      <c r="A529" s="9"/>
      <c r="B529" s="9"/>
      <c r="C529" s="9"/>
      <c r="D529" s="9"/>
      <c r="E529" s="9"/>
    </row>
    <row r="530" ht="15.75" customHeight="1" spans="1:5">
      <c r="A530" s="9"/>
      <c r="B530" s="9"/>
      <c r="C530" s="9"/>
      <c r="D530" s="9"/>
      <c r="E530" s="9"/>
    </row>
    <row r="531" ht="15.75" customHeight="1" spans="1:5">
      <c r="A531" s="9"/>
      <c r="B531" s="9"/>
      <c r="C531" s="9"/>
      <c r="D531" s="9"/>
      <c r="E531" s="9"/>
    </row>
    <row r="532" ht="15.75" customHeight="1" spans="1:5">
      <c r="A532" s="9"/>
      <c r="B532" s="9"/>
      <c r="C532" s="9"/>
      <c r="D532" s="9"/>
      <c r="E532" s="9"/>
    </row>
    <row r="533" ht="15.75" customHeight="1" spans="1:5">
      <c r="A533" s="9"/>
      <c r="B533" s="9"/>
      <c r="C533" s="9"/>
      <c r="D533" s="9"/>
      <c r="E533" s="9"/>
    </row>
    <row r="534" ht="15.75" customHeight="1" spans="1:5">
      <c r="A534" s="9"/>
      <c r="B534" s="9"/>
      <c r="C534" s="9"/>
      <c r="D534" s="9"/>
      <c r="E534" s="9"/>
    </row>
    <row r="535" ht="15.75" customHeight="1" spans="1:5">
      <c r="A535" s="9"/>
      <c r="B535" s="9"/>
      <c r="C535" s="9"/>
      <c r="D535" s="9"/>
      <c r="E535" s="9"/>
    </row>
    <row r="536" ht="15.75" customHeight="1" spans="1:5">
      <c r="A536" s="9"/>
      <c r="B536" s="9"/>
      <c r="C536" s="9"/>
      <c r="D536" s="9"/>
      <c r="E536" s="9"/>
    </row>
    <row r="537" ht="15.75" customHeight="1" spans="1:5">
      <c r="A537" s="9"/>
      <c r="B537" s="9"/>
      <c r="C537" s="9"/>
      <c r="D537" s="9"/>
      <c r="E537" s="9"/>
    </row>
    <row r="538" ht="15.75" customHeight="1" spans="1:5">
      <c r="A538" s="9"/>
      <c r="B538" s="9"/>
      <c r="C538" s="9"/>
      <c r="D538" s="9"/>
      <c r="E538" s="9"/>
    </row>
    <row r="539" ht="15.75" customHeight="1" spans="1:5">
      <c r="A539" s="9"/>
      <c r="B539" s="9"/>
      <c r="C539" s="9"/>
      <c r="D539" s="9"/>
      <c r="E539" s="9"/>
    </row>
    <row r="540" ht="15.75" customHeight="1" spans="1:5">
      <c r="A540" s="9"/>
      <c r="B540" s="9"/>
      <c r="C540" s="9"/>
      <c r="D540" s="9"/>
      <c r="E540" s="9"/>
    </row>
    <row r="541" ht="15.75" customHeight="1" spans="1:5">
      <c r="A541" s="9"/>
      <c r="B541" s="9"/>
      <c r="C541" s="9"/>
      <c r="D541" s="9"/>
      <c r="E541" s="9"/>
    </row>
    <row r="542" ht="15.75" customHeight="1" spans="1:5">
      <c r="A542" s="9"/>
      <c r="B542" s="9"/>
      <c r="C542" s="9"/>
      <c r="D542" s="9"/>
      <c r="E542" s="9"/>
    </row>
    <row r="543" ht="15.75" customHeight="1" spans="1:5">
      <c r="A543" s="9"/>
      <c r="B543" s="9"/>
      <c r="C543" s="9"/>
      <c r="D543" s="9"/>
      <c r="E543" s="9"/>
    </row>
    <row r="544" ht="15.75" customHeight="1" spans="1:5">
      <c r="A544" s="9"/>
      <c r="B544" s="9"/>
      <c r="C544" s="9"/>
      <c r="D544" s="9"/>
      <c r="E544" s="9"/>
    </row>
    <row r="545" ht="15.75" customHeight="1" spans="1:5">
      <c r="A545" s="9"/>
      <c r="B545" s="9"/>
      <c r="C545" s="9"/>
      <c r="D545" s="9"/>
      <c r="E545" s="9"/>
    </row>
    <row r="546" ht="15.75" customHeight="1" spans="1:5">
      <c r="A546" s="9"/>
      <c r="B546" s="9"/>
      <c r="C546" s="9"/>
      <c r="D546" s="9"/>
      <c r="E546" s="9"/>
    </row>
    <row r="547" ht="15.75" customHeight="1" spans="1:5">
      <c r="A547" s="9"/>
      <c r="B547" s="9"/>
      <c r="C547" s="9"/>
      <c r="D547" s="9"/>
      <c r="E547" s="9"/>
    </row>
    <row r="548" ht="15.75" customHeight="1" spans="1:5">
      <c r="A548" s="9"/>
      <c r="B548" s="9"/>
      <c r="C548" s="9"/>
      <c r="D548" s="9"/>
      <c r="E548" s="9"/>
    </row>
    <row r="549" ht="15.75" customHeight="1" spans="1:5">
      <c r="A549" s="9"/>
      <c r="B549" s="9"/>
      <c r="C549" s="9"/>
      <c r="D549" s="9"/>
      <c r="E549" s="9"/>
    </row>
    <row r="550" ht="15.75" customHeight="1" spans="1:5">
      <c r="A550" s="9"/>
      <c r="B550" s="9"/>
      <c r="C550" s="9"/>
      <c r="D550" s="9"/>
      <c r="E550" s="9"/>
    </row>
    <row r="551" ht="15.75" customHeight="1" spans="1:5">
      <c r="A551" s="9"/>
      <c r="B551" s="9"/>
      <c r="C551" s="9"/>
      <c r="D551" s="9"/>
      <c r="E551" s="9"/>
    </row>
    <row r="552" ht="15.75" customHeight="1" spans="1:5">
      <c r="A552" s="9"/>
      <c r="B552" s="9"/>
      <c r="C552" s="9"/>
      <c r="D552" s="9"/>
      <c r="E552" s="9"/>
    </row>
    <row r="553" ht="15.75" customHeight="1" spans="1:5">
      <c r="A553" s="9"/>
      <c r="B553" s="9"/>
      <c r="C553" s="9"/>
      <c r="D553" s="9"/>
      <c r="E553" s="9"/>
    </row>
    <row r="554" ht="15.75" customHeight="1" spans="1:5">
      <c r="A554" s="9"/>
      <c r="B554" s="9"/>
      <c r="C554" s="9"/>
      <c r="D554" s="9"/>
      <c r="E554" s="9"/>
    </row>
    <row r="555" ht="15.75" customHeight="1" spans="1:5">
      <c r="A555" s="9"/>
      <c r="B555" s="9"/>
      <c r="C555" s="9"/>
      <c r="D555" s="9"/>
      <c r="E555" s="9"/>
    </row>
    <row r="556" ht="15.75" customHeight="1" spans="1:5">
      <c r="A556" s="9"/>
      <c r="B556" s="9"/>
      <c r="C556" s="9"/>
      <c r="D556" s="9"/>
      <c r="E556" s="9"/>
    </row>
    <row r="557" ht="15.75" customHeight="1" spans="1:5">
      <c r="A557" s="9"/>
      <c r="B557" s="9"/>
      <c r="C557" s="9"/>
      <c r="D557" s="9"/>
      <c r="E557" s="9"/>
    </row>
    <row r="558" ht="15.75" customHeight="1" spans="1:5">
      <c r="A558" s="9"/>
      <c r="B558" s="9"/>
      <c r="C558" s="9"/>
      <c r="D558" s="9"/>
      <c r="E558" s="9"/>
    </row>
    <row r="559" ht="15.75" customHeight="1" spans="1:5">
      <c r="A559" s="9"/>
      <c r="B559" s="9"/>
      <c r="C559" s="9"/>
      <c r="D559" s="9"/>
      <c r="E559" s="9"/>
    </row>
    <row r="560" ht="15.75" customHeight="1" spans="1:5">
      <c r="A560" s="9"/>
      <c r="B560" s="9"/>
      <c r="C560" s="9"/>
      <c r="D560" s="9"/>
      <c r="E560" s="9"/>
    </row>
    <row r="561" ht="15.75" customHeight="1" spans="1:5">
      <c r="A561" s="9"/>
      <c r="B561" s="9"/>
      <c r="C561" s="9"/>
      <c r="D561" s="9"/>
      <c r="E561" s="9"/>
    </row>
    <row r="562" ht="15.75" customHeight="1" spans="1:5">
      <c r="A562" s="9"/>
      <c r="B562" s="9"/>
      <c r="C562" s="9"/>
      <c r="D562" s="9"/>
      <c r="E562" s="9"/>
    </row>
    <row r="563" ht="15.75" customHeight="1" spans="1:5">
      <c r="A563" s="9"/>
      <c r="B563" s="9"/>
      <c r="C563" s="9"/>
      <c r="D563" s="9"/>
      <c r="E563" s="9"/>
    </row>
    <row r="564" ht="15.75" customHeight="1" spans="1:5">
      <c r="A564" s="9"/>
      <c r="B564" s="9"/>
      <c r="C564" s="9"/>
      <c r="D564" s="9"/>
      <c r="E564" s="9"/>
    </row>
    <row r="565" ht="15.75" customHeight="1" spans="1:5">
      <c r="A565" s="9"/>
      <c r="B565" s="9"/>
      <c r="C565" s="9"/>
      <c r="D565" s="9"/>
      <c r="E565" s="9"/>
    </row>
    <row r="566" ht="15.75" customHeight="1" spans="1:5">
      <c r="A566" s="9"/>
      <c r="B566" s="9"/>
      <c r="C566" s="9"/>
      <c r="D566" s="9"/>
      <c r="E566" s="9"/>
    </row>
    <row r="567" ht="15.75" customHeight="1" spans="1:5">
      <c r="A567" s="9"/>
      <c r="B567" s="9"/>
      <c r="C567" s="9"/>
      <c r="D567" s="9"/>
      <c r="E567" s="9"/>
    </row>
    <row r="568" ht="15.75" customHeight="1" spans="1:5">
      <c r="A568" s="9"/>
      <c r="B568" s="9"/>
      <c r="C568" s="9"/>
      <c r="D568" s="9"/>
      <c r="E568" s="9"/>
    </row>
    <row r="569" ht="15.75" customHeight="1" spans="1:5">
      <c r="A569" s="9"/>
      <c r="B569" s="9"/>
      <c r="C569" s="9"/>
      <c r="D569" s="9"/>
      <c r="E569" s="9"/>
    </row>
    <row r="570" ht="15.75" customHeight="1" spans="1:5">
      <c r="A570" s="9"/>
      <c r="B570" s="9"/>
      <c r="C570" s="9"/>
      <c r="D570" s="9"/>
      <c r="E570" s="9"/>
    </row>
    <row r="571" ht="15.75" customHeight="1" spans="1:5">
      <c r="A571" s="9"/>
      <c r="B571" s="9"/>
      <c r="C571" s="9"/>
      <c r="D571" s="9"/>
      <c r="E571" s="9"/>
    </row>
    <row r="572" ht="15.75" customHeight="1" spans="1:5">
      <c r="A572" s="9"/>
      <c r="B572" s="9"/>
      <c r="C572" s="9"/>
      <c r="D572" s="9"/>
      <c r="E572" s="9"/>
    </row>
    <row r="573" ht="15.75" customHeight="1" spans="1:5">
      <c r="A573" s="9"/>
      <c r="B573" s="9"/>
      <c r="C573" s="9"/>
      <c r="D573" s="9"/>
      <c r="E573" s="9"/>
    </row>
    <row r="574" ht="15.75" customHeight="1" spans="1:5">
      <c r="A574" s="9"/>
      <c r="B574" s="9"/>
      <c r="C574" s="9"/>
      <c r="D574" s="9"/>
      <c r="E574" s="9"/>
    </row>
    <row r="575" ht="15.75" customHeight="1" spans="1:5">
      <c r="A575" s="9"/>
      <c r="B575" s="9"/>
      <c r="C575" s="9"/>
      <c r="D575" s="9"/>
      <c r="E575" s="9"/>
    </row>
    <row r="576" ht="15.75" customHeight="1" spans="1:5">
      <c r="A576" s="9"/>
      <c r="B576" s="9"/>
      <c r="C576" s="9"/>
      <c r="D576" s="9"/>
      <c r="E576" s="9"/>
    </row>
    <row r="577" ht="15.75" customHeight="1" spans="1:5">
      <c r="A577" s="9"/>
      <c r="B577" s="9"/>
      <c r="C577" s="9"/>
      <c r="D577" s="9"/>
      <c r="E577" s="9"/>
    </row>
    <row r="578" ht="15.75" customHeight="1" spans="1:5">
      <c r="A578" s="9"/>
      <c r="B578" s="9"/>
      <c r="C578" s="9"/>
      <c r="D578" s="9"/>
      <c r="E578" s="9"/>
    </row>
    <row r="579" ht="15.75" customHeight="1" spans="1:5">
      <c r="A579" s="9"/>
      <c r="B579" s="9"/>
      <c r="C579" s="9"/>
      <c r="D579" s="9"/>
      <c r="E579" s="9"/>
    </row>
    <row r="580" ht="15.75" customHeight="1" spans="1:5">
      <c r="A580" s="9"/>
      <c r="B580" s="9"/>
      <c r="C580" s="9"/>
      <c r="D580" s="9"/>
      <c r="E580" s="9"/>
    </row>
    <row r="581" ht="15.75" customHeight="1" spans="1:5">
      <c r="A581" s="9"/>
      <c r="B581" s="9"/>
      <c r="C581" s="9"/>
      <c r="D581" s="9"/>
      <c r="E581" s="9"/>
    </row>
    <row r="582" ht="15.75" customHeight="1" spans="1:5">
      <c r="A582" s="9"/>
      <c r="B582" s="9"/>
      <c r="C582" s="9"/>
      <c r="D582" s="9"/>
      <c r="E582" s="9"/>
    </row>
    <row r="583" ht="15.75" customHeight="1" spans="1:5">
      <c r="A583" s="9"/>
      <c r="B583" s="9"/>
      <c r="C583" s="9"/>
      <c r="D583" s="9"/>
      <c r="E583" s="9"/>
    </row>
    <row r="584" ht="15.75" customHeight="1" spans="1:5">
      <c r="A584" s="9"/>
      <c r="B584" s="9"/>
      <c r="C584" s="9"/>
      <c r="D584" s="9"/>
      <c r="E584" s="9"/>
    </row>
    <row r="585" ht="15.75" customHeight="1" spans="1:5">
      <c r="A585" s="9"/>
      <c r="B585" s="9"/>
      <c r="C585" s="9"/>
      <c r="D585" s="9"/>
      <c r="E585" s="9"/>
    </row>
    <row r="586" ht="15.75" customHeight="1" spans="1:5">
      <c r="A586" s="9"/>
      <c r="B586" s="9"/>
      <c r="C586" s="9"/>
      <c r="D586" s="9"/>
      <c r="E586" s="9"/>
    </row>
    <row r="587" ht="15.75" customHeight="1" spans="1:5">
      <c r="A587" s="9"/>
      <c r="B587" s="9"/>
      <c r="C587" s="9"/>
      <c r="D587" s="9"/>
      <c r="E587" s="9"/>
    </row>
    <row r="588" ht="15.75" customHeight="1" spans="1:5">
      <c r="A588" s="9"/>
      <c r="B588" s="9"/>
      <c r="C588" s="9"/>
      <c r="D588" s="9"/>
      <c r="E588" s="9"/>
    </row>
    <row r="589" ht="15.75" customHeight="1" spans="1:5">
      <c r="A589" s="9"/>
      <c r="B589" s="9"/>
      <c r="C589" s="9"/>
      <c r="D589" s="9"/>
      <c r="E589" s="9"/>
    </row>
    <row r="590" ht="15.75" customHeight="1" spans="1:5">
      <c r="A590" s="9"/>
      <c r="B590" s="9"/>
      <c r="C590" s="9"/>
      <c r="D590" s="9"/>
      <c r="E590" s="9"/>
    </row>
    <row r="591" ht="15.75" customHeight="1" spans="1:5">
      <c r="A591" s="9"/>
      <c r="B591" s="9"/>
      <c r="C591" s="9"/>
      <c r="D591" s="9"/>
      <c r="E591" s="9"/>
    </row>
    <row r="592" ht="15.75" customHeight="1" spans="1:5">
      <c r="A592" s="9"/>
      <c r="B592" s="9"/>
      <c r="C592" s="9"/>
      <c r="D592" s="9"/>
      <c r="E592" s="9"/>
    </row>
    <row r="593" ht="15.75" customHeight="1" spans="1:5">
      <c r="A593" s="9"/>
      <c r="B593" s="9"/>
      <c r="C593" s="9"/>
      <c r="D593" s="9"/>
      <c r="E593" s="9"/>
    </row>
    <row r="594" ht="15.75" customHeight="1" spans="1:5">
      <c r="A594" s="9"/>
      <c r="B594" s="9"/>
      <c r="C594" s="9"/>
      <c r="D594" s="9"/>
      <c r="E594" s="9"/>
    </row>
    <row r="595" ht="15.75" customHeight="1" spans="1:5">
      <c r="A595" s="9"/>
      <c r="B595" s="9"/>
      <c r="C595" s="9"/>
      <c r="D595" s="9"/>
      <c r="E595" s="9"/>
    </row>
    <row r="596" ht="15.75" customHeight="1" spans="1:5">
      <c r="A596" s="9"/>
      <c r="B596" s="9"/>
      <c r="C596" s="9"/>
      <c r="D596" s="9"/>
      <c r="E596" s="9"/>
    </row>
    <row r="597" ht="15.75" customHeight="1" spans="1:5">
      <c r="A597" s="9"/>
      <c r="B597" s="9"/>
      <c r="C597" s="9"/>
      <c r="D597" s="9"/>
      <c r="E597" s="9"/>
    </row>
    <row r="598" ht="15.75" customHeight="1" spans="1:5">
      <c r="A598" s="9"/>
      <c r="B598" s="9"/>
      <c r="C598" s="9"/>
      <c r="D598" s="9"/>
      <c r="E598" s="9"/>
    </row>
    <row r="599" ht="15.75" customHeight="1" spans="1:5">
      <c r="A599" s="9"/>
      <c r="B599" s="9"/>
      <c r="C599" s="9"/>
      <c r="D599" s="9"/>
      <c r="E599" s="9"/>
    </row>
    <row r="600" ht="15.75" customHeight="1" spans="1:5">
      <c r="A600" s="9"/>
      <c r="B600" s="9"/>
      <c r="C600" s="9"/>
      <c r="D600" s="9"/>
      <c r="E600" s="9"/>
    </row>
    <row r="601" ht="15.75" customHeight="1" spans="1:5">
      <c r="A601" s="9"/>
      <c r="B601" s="9"/>
      <c r="C601" s="9"/>
      <c r="D601" s="9"/>
      <c r="E601" s="9"/>
    </row>
    <row r="602" ht="15.75" customHeight="1" spans="1:5">
      <c r="A602" s="9"/>
      <c r="B602" s="9"/>
      <c r="C602" s="9"/>
      <c r="D602" s="9"/>
      <c r="E602" s="9"/>
    </row>
    <row r="603" ht="15.75" customHeight="1" spans="1:5">
      <c r="A603" s="9"/>
      <c r="B603" s="9"/>
      <c r="C603" s="9"/>
      <c r="D603" s="9"/>
      <c r="E603" s="9"/>
    </row>
    <row r="604" ht="15.75" customHeight="1" spans="1:5">
      <c r="A604" s="9"/>
      <c r="B604" s="9"/>
      <c r="C604" s="9"/>
      <c r="D604" s="9"/>
      <c r="E604" s="9"/>
    </row>
    <row r="605" ht="15.75" customHeight="1" spans="1:5">
      <c r="A605" s="9"/>
      <c r="B605" s="9"/>
      <c r="C605" s="9"/>
      <c r="D605" s="9"/>
      <c r="E605" s="9"/>
    </row>
    <row r="606" ht="15.75" customHeight="1" spans="1:5">
      <c r="A606" s="9"/>
      <c r="B606" s="9"/>
      <c r="C606" s="9"/>
      <c r="D606" s="9"/>
      <c r="E606" s="9"/>
    </row>
    <row r="607" ht="15.75" customHeight="1" spans="1:5">
      <c r="A607" s="9"/>
      <c r="B607" s="9"/>
      <c r="C607" s="9"/>
      <c r="D607" s="9"/>
      <c r="E607" s="9"/>
    </row>
    <row r="608" ht="15.75" customHeight="1" spans="1:5">
      <c r="A608" s="9"/>
      <c r="B608" s="9"/>
      <c r="C608" s="9"/>
      <c r="D608" s="9"/>
      <c r="E608" s="9"/>
    </row>
    <row r="609" ht="15.75" customHeight="1" spans="1:5">
      <c r="A609" s="9"/>
      <c r="B609" s="9"/>
      <c r="C609" s="9"/>
      <c r="D609" s="9"/>
      <c r="E609" s="9"/>
    </row>
    <row r="610" ht="15.75" customHeight="1" spans="1:5">
      <c r="A610" s="9"/>
      <c r="B610" s="9"/>
      <c r="C610" s="9"/>
      <c r="D610" s="9"/>
      <c r="E610" s="9"/>
    </row>
    <row r="611" ht="15.75" customHeight="1" spans="1:5">
      <c r="A611" s="9"/>
      <c r="B611" s="9"/>
      <c r="C611" s="9"/>
      <c r="D611" s="9"/>
      <c r="E611" s="9"/>
    </row>
    <row r="612" ht="15.75" customHeight="1" spans="1:5">
      <c r="A612" s="9"/>
      <c r="B612" s="9"/>
      <c r="C612" s="9"/>
      <c r="D612" s="9"/>
      <c r="E612" s="9"/>
    </row>
    <row r="613" ht="15.75" customHeight="1" spans="1:5">
      <c r="A613" s="9"/>
      <c r="B613" s="9"/>
      <c r="C613" s="9"/>
      <c r="D613" s="9"/>
      <c r="E613" s="9"/>
    </row>
    <row r="614" ht="15.75" customHeight="1" spans="1:5">
      <c r="A614" s="9"/>
      <c r="B614" s="9"/>
      <c r="C614" s="9"/>
      <c r="D614" s="9"/>
      <c r="E614" s="9"/>
    </row>
    <row r="615" ht="15.75" customHeight="1" spans="1:5">
      <c r="A615" s="9"/>
      <c r="B615" s="9"/>
      <c r="C615" s="9"/>
      <c r="D615" s="9"/>
      <c r="E615" s="9"/>
    </row>
    <row r="616" ht="15.75" customHeight="1" spans="1:5">
      <c r="A616" s="9"/>
      <c r="B616" s="9"/>
      <c r="C616" s="9"/>
      <c r="D616" s="9"/>
      <c r="E616" s="9"/>
    </row>
    <row r="617" ht="15.75" customHeight="1" spans="1:5">
      <c r="A617" s="9"/>
      <c r="B617" s="9"/>
      <c r="C617" s="9"/>
      <c r="D617" s="9"/>
      <c r="E617" s="9"/>
    </row>
    <row r="618" ht="15.75" customHeight="1" spans="1:5">
      <c r="A618" s="9"/>
      <c r="B618" s="9"/>
      <c r="C618" s="9"/>
      <c r="D618" s="9"/>
      <c r="E618" s="9"/>
    </row>
    <row r="619" ht="15.75" customHeight="1" spans="1:5">
      <c r="A619" s="9"/>
      <c r="B619" s="9"/>
      <c r="C619" s="9"/>
      <c r="D619" s="9"/>
      <c r="E619" s="9"/>
    </row>
    <row r="620" ht="15.75" customHeight="1" spans="1:5">
      <c r="A620" s="9"/>
      <c r="B620" s="9"/>
      <c r="C620" s="9"/>
      <c r="D620" s="9"/>
      <c r="E620" s="9"/>
    </row>
    <row r="621" ht="15.75" customHeight="1" spans="1:5">
      <c r="A621" s="9"/>
      <c r="B621" s="9"/>
      <c r="C621" s="9"/>
      <c r="D621" s="9"/>
      <c r="E621" s="9"/>
    </row>
    <row r="622" ht="15.75" customHeight="1" spans="1:5">
      <c r="A622" s="9"/>
      <c r="B622" s="9"/>
      <c r="C622" s="9"/>
      <c r="D622" s="9"/>
      <c r="E622" s="9"/>
    </row>
    <row r="623" ht="15.75" customHeight="1" spans="1:5">
      <c r="A623" s="9"/>
      <c r="B623" s="9"/>
      <c r="C623" s="9"/>
      <c r="D623" s="9"/>
      <c r="E623" s="9"/>
    </row>
    <row r="624" ht="15.75" customHeight="1" spans="1:5">
      <c r="A624" s="9"/>
      <c r="B624" s="9"/>
      <c r="C624" s="9"/>
      <c r="D624" s="9"/>
      <c r="E624" s="9"/>
    </row>
    <row r="625" ht="15.75" customHeight="1" spans="1:5">
      <c r="A625" s="9"/>
      <c r="B625" s="9"/>
      <c r="C625" s="9"/>
      <c r="D625" s="9"/>
      <c r="E625" s="9"/>
    </row>
    <row r="626" ht="15.75" customHeight="1" spans="1:5">
      <c r="A626" s="9"/>
      <c r="B626" s="9"/>
      <c r="C626" s="9"/>
      <c r="D626" s="9"/>
      <c r="E626" s="9"/>
    </row>
    <row r="627" ht="15.75" customHeight="1" spans="1:5">
      <c r="A627" s="9"/>
      <c r="B627" s="9"/>
      <c r="C627" s="9"/>
      <c r="D627" s="9"/>
      <c r="E627" s="9"/>
    </row>
    <row r="628" ht="15.75" customHeight="1" spans="1:5">
      <c r="A628" s="9"/>
      <c r="B628" s="9"/>
      <c r="C628" s="9"/>
      <c r="D628" s="9"/>
      <c r="E628" s="9"/>
    </row>
    <row r="629" ht="15.75" customHeight="1" spans="1:5">
      <c r="A629" s="9"/>
      <c r="B629" s="9"/>
      <c r="C629" s="9"/>
      <c r="D629" s="9"/>
      <c r="E629" s="9"/>
    </row>
    <row r="630" ht="15.75" customHeight="1" spans="1:5">
      <c r="A630" s="9"/>
      <c r="B630" s="9"/>
      <c r="C630" s="9"/>
      <c r="D630" s="9"/>
      <c r="E630" s="9"/>
    </row>
    <row r="631" ht="15.75" customHeight="1" spans="1:5">
      <c r="A631" s="9"/>
      <c r="B631" s="9"/>
      <c r="C631" s="9"/>
      <c r="D631" s="9"/>
      <c r="E631" s="9"/>
    </row>
    <row r="632" ht="15.75" customHeight="1" spans="1:5">
      <c r="A632" s="9"/>
      <c r="B632" s="9"/>
      <c r="C632" s="9"/>
      <c r="D632" s="9"/>
      <c r="E632" s="9"/>
    </row>
    <row r="633" ht="15.75" customHeight="1" spans="1:5">
      <c r="A633" s="9"/>
      <c r="B633" s="9"/>
      <c r="C633" s="9"/>
      <c r="D633" s="9"/>
      <c r="E633" s="9"/>
    </row>
    <row r="634" ht="15.75" customHeight="1" spans="1:5">
      <c r="A634" s="9"/>
      <c r="B634" s="9"/>
      <c r="C634" s="9"/>
      <c r="D634" s="9"/>
      <c r="E634" s="9"/>
    </row>
    <row r="635" ht="15.75" customHeight="1" spans="1:5">
      <c r="A635" s="9"/>
      <c r="B635" s="9"/>
      <c r="C635" s="9"/>
      <c r="D635" s="9"/>
      <c r="E635" s="9"/>
    </row>
    <row r="636" ht="15.75" customHeight="1" spans="1:5">
      <c r="A636" s="9"/>
      <c r="B636" s="9"/>
      <c r="C636" s="9"/>
      <c r="D636" s="9"/>
      <c r="E636" s="9"/>
    </row>
    <row r="637" ht="15.75" customHeight="1" spans="1:5">
      <c r="A637" s="9"/>
      <c r="B637" s="9"/>
      <c r="C637" s="9"/>
      <c r="D637" s="9"/>
      <c r="E637" s="9"/>
    </row>
    <row r="638" ht="15.75" customHeight="1" spans="1:5">
      <c r="A638" s="9"/>
      <c r="B638" s="9"/>
      <c r="C638" s="9"/>
      <c r="D638" s="9"/>
      <c r="E638" s="9"/>
    </row>
    <row r="639" ht="15.75" customHeight="1" spans="1:5">
      <c r="A639" s="9"/>
      <c r="B639" s="9"/>
      <c r="C639" s="9"/>
      <c r="D639" s="9"/>
      <c r="E639" s="9"/>
    </row>
    <row r="640" ht="15.75" customHeight="1" spans="1:5">
      <c r="A640" s="9"/>
      <c r="B640" s="9"/>
      <c r="C640" s="9"/>
      <c r="D640" s="9"/>
      <c r="E640" s="9"/>
    </row>
    <row r="641" ht="15.75" customHeight="1" spans="1:5">
      <c r="A641" s="9"/>
      <c r="B641" s="9"/>
      <c r="C641" s="9"/>
      <c r="D641" s="9"/>
      <c r="E641" s="9"/>
    </row>
    <row r="642" ht="15.75" customHeight="1" spans="1:5">
      <c r="A642" s="9"/>
      <c r="B642" s="9"/>
      <c r="C642" s="9"/>
      <c r="D642" s="9"/>
      <c r="E642" s="9"/>
    </row>
    <row r="643" ht="15.75" customHeight="1" spans="1:5">
      <c r="A643" s="9"/>
      <c r="B643" s="9"/>
      <c r="C643" s="9"/>
      <c r="D643" s="9"/>
      <c r="E643" s="9"/>
    </row>
    <row r="644" ht="15.75" customHeight="1" spans="1:5">
      <c r="A644" s="9"/>
      <c r="B644" s="9"/>
      <c r="C644" s="9"/>
      <c r="D644" s="9"/>
      <c r="E644" s="9"/>
    </row>
    <row r="645" ht="15.75" customHeight="1" spans="1:5">
      <c r="A645" s="9"/>
      <c r="B645" s="9"/>
      <c r="C645" s="9"/>
      <c r="D645" s="9"/>
      <c r="E645" s="9"/>
    </row>
    <row r="646" ht="15.75" customHeight="1" spans="1:5">
      <c r="A646" s="9"/>
      <c r="B646" s="9"/>
      <c r="C646" s="9"/>
      <c r="D646" s="9"/>
      <c r="E646" s="9"/>
    </row>
    <row r="647" ht="15.75" customHeight="1" spans="1:5">
      <c r="A647" s="9"/>
      <c r="B647" s="9"/>
      <c r="C647" s="9"/>
      <c r="D647" s="9"/>
      <c r="E647" s="9"/>
    </row>
    <row r="648" ht="15.75" customHeight="1" spans="1:5">
      <c r="A648" s="9"/>
      <c r="B648" s="9"/>
      <c r="C648" s="9"/>
      <c r="D648" s="9"/>
      <c r="E648" s="9"/>
    </row>
    <row r="649" ht="15.75" customHeight="1" spans="1:5">
      <c r="A649" s="9"/>
      <c r="B649" s="9"/>
      <c r="C649" s="9"/>
      <c r="D649" s="9"/>
      <c r="E649" s="9"/>
    </row>
    <row r="650" ht="15.75" customHeight="1" spans="1:5">
      <c r="A650" s="9"/>
      <c r="B650" s="9"/>
      <c r="C650" s="9"/>
      <c r="D650" s="9"/>
      <c r="E650" s="9"/>
    </row>
    <row r="651" ht="15.75" customHeight="1" spans="1:5">
      <c r="A651" s="9"/>
      <c r="B651" s="9"/>
      <c r="C651" s="9"/>
      <c r="D651" s="9"/>
      <c r="E651" s="9"/>
    </row>
    <row r="652" ht="15.75" customHeight="1" spans="1:5">
      <c r="A652" s="9"/>
      <c r="B652" s="9"/>
      <c r="C652" s="9"/>
      <c r="D652" s="9"/>
      <c r="E652" s="9"/>
    </row>
    <row r="653" ht="15.75" customHeight="1" spans="1:5">
      <c r="A653" s="9"/>
      <c r="B653" s="9"/>
      <c r="C653" s="9"/>
      <c r="D653" s="9"/>
      <c r="E653" s="9"/>
    </row>
    <row r="654" ht="15.75" customHeight="1" spans="1:5">
      <c r="A654" s="9"/>
      <c r="B654" s="9"/>
      <c r="C654" s="9"/>
      <c r="D654" s="9"/>
      <c r="E654" s="9"/>
    </row>
    <row r="655" ht="15.75" customHeight="1" spans="1:5">
      <c r="A655" s="9"/>
      <c r="B655" s="9"/>
      <c r="C655" s="9"/>
      <c r="D655" s="9"/>
      <c r="E655" s="9"/>
    </row>
    <row r="656" ht="15.75" customHeight="1" spans="1:5">
      <c r="A656" s="9"/>
      <c r="B656" s="9"/>
      <c r="C656" s="9"/>
      <c r="D656" s="9"/>
      <c r="E656" s="9"/>
    </row>
    <row r="657" ht="15.75" customHeight="1" spans="1:5">
      <c r="A657" s="9"/>
      <c r="B657" s="9"/>
      <c r="C657" s="9"/>
      <c r="D657" s="9"/>
      <c r="E657" s="9"/>
    </row>
    <row r="658" ht="15.75" customHeight="1" spans="1:5">
      <c r="A658" s="9"/>
      <c r="B658" s="9"/>
      <c r="C658" s="9"/>
      <c r="D658" s="9"/>
      <c r="E658" s="9"/>
    </row>
    <row r="659" ht="15.75" customHeight="1" spans="1:5">
      <c r="A659" s="9"/>
      <c r="B659" s="9"/>
      <c r="C659" s="9"/>
      <c r="D659" s="9"/>
      <c r="E659" s="9"/>
    </row>
    <row r="660" ht="15.75" customHeight="1" spans="1:5">
      <c r="A660" s="9"/>
      <c r="B660" s="9"/>
      <c r="C660" s="9"/>
      <c r="D660" s="9"/>
      <c r="E660" s="9"/>
    </row>
    <row r="661" ht="15.75" customHeight="1" spans="1:5">
      <c r="A661" s="9"/>
      <c r="B661" s="9"/>
      <c r="C661" s="9"/>
      <c r="D661" s="9"/>
      <c r="E661" s="9"/>
    </row>
    <row r="662" ht="15.75" customHeight="1" spans="1:5">
      <c r="A662" s="9"/>
      <c r="B662" s="9"/>
      <c r="C662" s="9"/>
      <c r="D662" s="9"/>
      <c r="E662" s="9"/>
    </row>
    <row r="663" ht="15.75" customHeight="1" spans="1:5">
      <c r="A663" s="9"/>
      <c r="B663" s="9"/>
      <c r="C663" s="9"/>
      <c r="D663" s="9"/>
      <c r="E663" s="9"/>
    </row>
    <row r="664" ht="15.75" customHeight="1" spans="1:5">
      <c r="A664" s="9"/>
      <c r="B664" s="9"/>
      <c r="C664" s="9"/>
      <c r="D664" s="9"/>
      <c r="E664" s="9"/>
    </row>
    <row r="665" ht="15.75" customHeight="1" spans="1:5">
      <c r="A665" s="9"/>
      <c r="B665" s="9"/>
      <c r="C665" s="9"/>
      <c r="D665" s="9"/>
      <c r="E665" s="9"/>
    </row>
    <row r="666" ht="15.75" customHeight="1" spans="1:5">
      <c r="A666" s="9"/>
      <c r="B666" s="9"/>
      <c r="C666" s="9"/>
      <c r="D666" s="9"/>
      <c r="E666" s="9"/>
    </row>
    <row r="667" ht="15.75" customHeight="1" spans="1:5">
      <c r="A667" s="9"/>
      <c r="B667" s="9"/>
      <c r="C667" s="9"/>
      <c r="D667" s="9"/>
      <c r="E667" s="9"/>
    </row>
    <row r="668" ht="15.75" customHeight="1" spans="1:5">
      <c r="A668" s="9"/>
      <c r="B668" s="9"/>
      <c r="C668" s="9"/>
      <c r="D668" s="9"/>
      <c r="E668" s="9"/>
    </row>
    <row r="669" ht="15.75" customHeight="1" spans="1:5">
      <c r="A669" s="9"/>
      <c r="B669" s="9"/>
      <c r="C669" s="9"/>
      <c r="D669" s="9"/>
      <c r="E669" s="9"/>
    </row>
    <row r="670" ht="15.75" customHeight="1" spans="1:5">
      <c r="A670" s="9"/>
      <c r="B670" s="9"/>
      <c r="C670" s="9"/>
      <c r="D670" s="9"/>
      <c r="E670" s="9"/>
    </row>
    <row r="671" ht="15.75" customHeight="1" spans="1:5">
      <c r="A671" s="9"/>
      <c r="B671" s="9"/>
      <c r="C671" s="9"/>
      <c r="D671" s="9"/>
      <c r="E671" s="9"/>
    </row>
    <row r="672" ht="15.75" customHeight="1" spans="1:5">
      <c r="A672" s="9"/>
      <c r="B672" s="9"/>
      <c r="C672" s="9"/>
      <c r="D672" s="9"/>
      <c r="E672" s="9"/>
    </row>
    <row r="673" ht="15.75" customHeight="1" spans="1:5">
      <c r="A673" s="9"/>
      <c r="B673" s="9"/>
      <c r="C673" s="9"/>
      <c r="D673" s="9"/>
      <c r="E673" s="9"/>
    </row>
    <row r="674" ht="15.75" customHeight="1" spans="1:5">
      <c r="A674" s="9"/>
      <c r="B674" s="9"/>
      <c r="C674" s="9"/>
      <c r="D674" s="9"/>
      <c r="E674" s="9"/>
    </row>
    <row r="675" ht="15.75" customHeight="1" spans="1:5">
      <c r="A675" s="9"/>
      <c r="B675" s="9"/>
      <c r="C675" s="9"/>
      <c r="D675" s="9"/>
      <c r="E675" s="9"/>
    </row>
    <row r="676" ht="15.75" customHeight="1" spans="1:5">
      <c r="A676" s="9"/>
      <c r="B676" s="9"/>
      <c r="C676" s="9"/>
      <c r="D676" s="9"/>
      <c r="E676" s="9"/>
    </row>
    <row r="677" ht="15.75" customHeight="1" spans="1:5">
      <c r="A677" s="9"/>
      <c r="B677" s="9"/>
      <c r="C677" s="9"/>
      <c r="D677" s="9"/>
      <c r="E677" s="9"/>
    </row>
    <row r="678" ht="15.75" customHeight="1" spans="1:5">
      <c r="A678" s="9"/>
      <c r="B678" s="9"/>
      <c r="C678" s="9"/>
      <c r="D678" s="9"/>
      <c r="E678" s="9"/>
    </row>
    <row r="679" ht="15.75" customHeight="1" spans="1:5">
      <c r="A679" s="9"/>
      <c r="B679" s="9"/>
      <c r="C679" s="9"/>
      <c r="D679" s="9"/>
      <c r="E679" s="9"/>
    </row>
    <row r="680" ht="15.75" customHeight="1" spans="1:5">
      <c r="A680" s="9"/>
      <c r="B680" s="9"/>
      <c r="C680" s="9"/>
      <c r="D680" s="9"/>
      <c r="E680" s="9"/>
    </row>
    <row r="681" ht="15.75" customHeight="1" spans="1:5">
      <c r="A681" s="9"/>
      <c r="B681" s="9"/>
      <c r="C681" s="9"/>
      <c r="D681" s="9"/>
      <c r="E681" s="9"/>
    </row>
    <row r="682" ht="15.75" customHeight="1" spans="1:5">
      <c r="A682" s="9"/>
      <c r="B682" s="9"/>
      <c r="C682" s="9"/>
      <c r="D682" s="9"/>
      <c r="E682" s="9"/>
    </row>
    <row r="683" ht="15.75" customHeight="1" spans="1:5">
      <c r="A683" s="9"/>
      <c r="B683" s="9"/>
      <c r="C683" s="9"/>
      <c r="D683" s="9"/>
      <c r="E683" s="9"/>
    </row>
    <row r="684" ht="15.75" customHeight="1" spans="1:5">
      <c r="A684" s="9"/>
      <c r="B684" s="9"/>
      <c r="C684" s="9"/>
      <c r="D684" s="9"/>
      <c r="E684" s="9"/>
    </row>
    <row r="685" ht="15.75" customHeight="1" spans="1:5">
      <c r="A685" s="9"/>
      <c r="B685" s="9"/>
      <c r="C685" s="9"/>
      <c r="D685" s="9"/>
      <c r="E685" s="9"/>
    </row>
    <row r="686" ht="15.75" customHeight="1" spans="1:5">
      <c r="A686" s="9"/>
      <c r="B686" s="9"/>
      <c r="C686" s="9"/>
      <c r="D686" s="9"/>
      <c r="E686" s="9"/>
    </row>
    <row r="687" ht="15.75" customHeight="1" spans="1:5">
      <c r="A687" s="9"/>
      <c r="B687" s="9"/>
      <c r="C687" s="9"/>
      <c r="D687" s="9"/>
      <c r="E687" s="9"/>
    </row>
    <row r="688" ht="15.75" customHeight="1" spans="1:5">
      <c r="A688" s="9"/>
      <c r="B688" s="9"/>
      <c r="C688" s="9"/>
      <c r="D688" s="9"/>
      <c r="E688" s="9"/>
    </row>
    <row r="689" ht="15.75" customHeight="1" spans="1:5">
      <c r="A689" s="9"/>
      <c r="B689" s="9"/>
      <c r="C689" s="9"/>
      <c r="D689" s="9"/>
      <c r="E689" s="9"/>
    </row>
    <row r="690" ht="15.75" customHeight="1" spans="1:5">
      <c r="A690" s="9"/>
      <c r="B690" s="9"/>
      <c r="C690" s="9"/>
      <c r="D690" s="9"/>
      <c r="E690" s="9"/>
    </row>
    <row r="691" ht="15.75" customHeight="1" spans="1:5">
      <c r="A691" s="9"/>
      <c r="B691" s="9"/>
      <c r="C691" s="9"/>
      <c r="D691" s="9"/>
      <c r="E691" s="9"/>
    </row>
    <row r="692" ht="15.75" customHeight="1" spans="1:5">
      <c r="A692" s="9"/>
      <c r="B692" s="9"/>
      <c r="C692" s="9"/>
      <c r="D692" s="9"/>
      <c r="E692" s="9"/>
    </row>
    <row r="693" ht="15.75" customHeight="1" spans="1:5">
      <c r="A693" s="9"/>
      <c r="B693" s="9"/>
      <c r="C693" s="9"/>
      <c r="D693" s="9"/>
      <c r="E693" s="9"/>
    </row>
    <row r="694" ht="15.75" customHeight="1" spans="1:5">
      <c r="A694" s="9"/>
      <c r="B694" s="9"/>
      <c r="C694" s="9"/>
      <c r="D694" s="9"/>
      <c r="E694" s="9"/>
    </row>
    <row r="695" ht="15.75" customHeight="1" spans="1:5">
      <c r="A695" s="9"/>
      <c r="B695" s="9"/>
      <c r="C695" s="9"/>
      <c r="D695" s="9"/>
      <c r="E695" s="9"/>
    </row>
    <row r="696" ht="15.75" customHeight="1" spans="1:5">
      <c r="A696" s="9"/>
      <c r="B696" s="9"/>
      <c r="C696" s="9"/>
      <c r="D696" s="9"/>
      <c r="E696" s="9"/>
    </row>
    <row r="697" ht="15.75" customHeight="1" spans="1:5">
      <c r="A697" s="9"/>
      <c r="B697" s="9"/>
      <c r="C697" s="9"/>
      <c r="D697" s="9"/>
      <c r="E697" s="9"/>
    </row>
    <row r="698" ht="15.75" customHeight="1" spans="1:5">
      <c r="A698" s="9"/>
      <c r="B698" s="9"/>
      <c r="C698" s="9"/>
      <c r="D698" s="9"/>
      <c r="E698" s="9"/>
    </row>
    <row r="699" ht="15.75" customHeight="1" spans="1:5">
      <c r="A699" s="9"/>
      <c r="B699" s="9"/>
      <c r="C699" s="9"/>
      <c r="D699" s="9"/>
      <c r="E699" s="9"/>
    </row>
    <row r="700" ht="15.75" customHeight="1" spans="1:5">
      <c r="A700" s="9"/>
      <c r="B700" s="9"/>
      <c r="C700" s="9"/>
      <c r="D700" s="9"/>
      <c r="E700" s="9"/>
    </row>
    <row r="701" ht="15.75" customHeight="1" spans="1:5">
      <c r="A701" s="9"/>
      <c r="B701" s="9"/>
      <c r="C701" s="9"/>
      <c r="D701" s="9"/>
      <c r="E701" s="9"/>
    </row>
    <row r="702" ht="15.75" customHeight="1" spans="1:5">
      <c r="A702" s="9"/>
      <c r="B702" s="9"/>
      <c r="C702" s="9"/>
      <c r="D702" s="9"/>
      <c r="E702" s="9"/>
    </row>
    <row r="703" ht="15.75" customHeight="1" spans="1:5">
      <c r="A703" s="9"/>
      <c r="B703" s="9"/>
      <c r="C703" s="9"/>
      <c r="D703" s="9"/>
      <c r="E703" s="9"/>
    </row>
    <row r="704" ht="15.75" customHeight="1" spans="1:5">
      <c r="A704" s="9"/>
      <c r="B704" s="9"/>
      <c r="C704" s="9"/>
      <c r="D704" s="9"/>
      <c r="E704" s="9"/>
    </row>
    <row r="705" ht="15.75" customHeight="1" spans="1:5">
      <c r="A705" s="9"/>
      <c r="B705" s="9"/>
      <c r="C705" s="9"/>
      <c r="D705" s="9"/>
      <c r="E705" s="9"/>
    </row>
    <row r="706" ht="15.75" customHeight="1" spans="1:5">
      <c r="A706" s="9"/>
      <c r="B706" s="9"/>
      <c r="C706" s="9"/>
      <c r="D706" s="9"/>
      <c r="E706" s="9"/>
    </row>
    <row r="707" ht="15.75" customHeight="1" spans="1:5">
      <c r="A707" s="9"/>
      <c r="B707" s="9"/>
      <c r="C707" s="9"/>
      <c r="D707" s="9"/>
      <c r="E707" s="9"/>
    </row>
    <row r="708" ht="15.75" customHeight="1" spans="1:5">
      <c r="A708" s="9"/>
      <c r="B708" s="9"/>
      <c r="C708" s="9"/>
      <c r="D708" s="9"/>
      <c r="E708" s="9"/>
    </row>
    <row r="709" ht="15.75" customHeight="1" spans="1:5">
      <c r="A709" s="9"/>
      <c r="B709" s="9"/>
      <c r="C709" s="9"/>
      <c r="D709" s="9"/>
      <c r="E709" s="9"/>
    </row>
    <row r="710" ht="15.75" customHeight="1" spans="1:5">
      <c r="A710" s="9"/>
      <c r="B710" s="9"/>
      <c r="C710" s="9"/>
      <c r="D710" s="9"/>
      <c r="E710" s="9"/>
    </row>
    <row r="711" ht="15.75" customHeight="1" spans="1:5">
      <c r="A711" s="9"/>
      <c r="B711" s="9"/>
      <c r="C711" s="9"/>
      <c r="D711" s="9"/>
      <c r="E711" s="9"/>
    </row>
    <row r="712" ht="15.75" customHeight="1" spans="1:5">
      <c r="A712" s="9"/>
      <c r="B712" s="9"/>
      <c r="C712" s="9"/>
      <c r="D712" s="9"/>
      <c r="E712" s="9"/>
    </row>
    <row r="713" ht="15.75" customHeight="1" spans="1:5">
      <c r="A713" s="9"/>
      <c r="B713" s="9"/>
      <c r="C713" s="9"/>
      <c r="D713" s="9"/>
      <c r="E713" s="9"/>
    </row>
    <row r="714" ht="15.75" customHeight="1" spans="1:5">
      <c r="A714" s="9"/>
      <c r="B714" s="9"/>
      <c r="C714" s="9"/>
      <c r="D714" s="9"/>
      <c r="E714" s="9"/>
    </row>
    <row r="715" ht="15.75" customHeight="1" spans="1:5">
      <c r="A715" s="9"/>
      <c r="B715" s="9"/>
      <c r="C715" s="9"/>
      <c r="D715" s="9"/>
      <c r="E715" s="9"/>
    </row>
    <row r="716" ht="15.75" customHeight="1" spans="1:5">
      <c r="A716" s="9"/>
      <c r="B716" s="9"/>
      <c r="C716" s="9"/>
      <c r="D716" s="9"/>
      <c r="E716" s="9"/>
    </row>
    <row r="717" ht="15.75" customHeight="1" spans="1:5">
      <c r="A717" s="9"/>
      <c r="B717" s="9"/>
      <c r="C717" s="9"/>
      <c r="D717" s="9"/>
      <c r="E717" s="9"/>
    </row>
    <row r="718" ht="15.75" customHeight="1" spans="1:5">
      <c r="A718" s="9"/>
      <c r="B718" s="9"/>
      <c r="C718" s="9"/>
      <c r="D718" s="9"/>
      <c r="E718" s="9"/>
    </row>
    <row r="719" ht="15.75" customHeight="1" spans="1:5">
      <c r="A719" s="9"/>
      <c r="B719" s="9"/>
      <c r="C719" s="9"/>
      <c r="D719" s="9"/>
      <c r="E719" s="9"/>
    </row>
    <row r="720" ht="15.75" customHeight="1" spans="1:5">
      <c r="A720" s="9"/>
      <c r="B720" s="9"/>
      <c r="C720" s="9"/>
      <c r="D720" s="9"/>
      <c r="E720" s="9"/>
    </row>
    <row r="721" ht="15.75" customHeight="1" spans="1:5">
      <c r="A721" s="9"/>
      <c r="B721" s="9"/>
      <c r="C721" s="9"/>
      <c r="D721" s="9"/>
      <c r="E721" s="9"/>
    </row>
    <row r="722" ht="15.75" customHeight="1" spans="1:5">
      <c r="A722" s="9"/>
      <c r="B722" s="9"/>
      <c r="C722" s="9"/>
      <c r="D722" s="9"/>
      <c r="E722" s="9"/>
    </row>
    <row r="723" ht="15.75" customHeight="1" spans="1:5">
      <c r="A723" s="9"/>
      <c r="B723" s="9"/>
      <c r="C723" s="9"/>
      <c r="D723" s="9"/>
      <c r="E723" s="9"/>
    </row>
    <row r="724" ht="15.75" customHeight="1" spans="1:5">
      <c r="A724" s="9"/>
      <c r="B724" s="9"/>
      <c r="C724" s="9"/>
      <c r="D724" s="9"/>
      <c r="E724" s="9"/>
    </row>
    <row r="725" ht="15.75" customHeight="1" spans="1:5">
      <c r="A725" s="9"/>
      <c r="B725" s="9"/>
      <c r="C725" s="9"/>
      <c r="D725" s="9"/>
      <c r="E725" s="9"/>
    </row>
    <row r="726" ht="15.75" customHeight="1" spans="1:5">
      <c r="A726" s="9"/>
      <c r="B726" s="9"/>
      <c r="C726" s="9"/>
      <c r="D726" s="9"/>
      <c r="E726" s="9"/>
    </row>
    <row r="727" ht="15.75" customHeight="1" spans="1:5">
      <c r="A727" s="9"/>
      <c r="B727" s="9"/>
      <c r="C727" s="9"/>
      <c r="D727" s="9"/>
      <c r="E727" s="9"/>
    </row>
    <row r="728" ht="15.75" customHeight="1" spans="1:5">
      <c r="A728" s="9"/>
      <c r="B728" s="9"/>
      <c r="C728" s="9"/>
      <c r="D728" s="9"/>
      <c r="E728" s="9"/>
    </row>
    <row r="729" ht="15.75" customHeight="1" spans="1:5">
      <c r="A729" s="9"/>
      <c r="B729" s="9"/>
      <c r="C729" s="9"/>
      <c r="D729" s="9"/>
      <c r="E729" s="9"/>
    </row>
    <row r="730" ht="15.75" customHeight="1" spans="1:5">
      <c r="A730" s="9"/>
      <c r="B730" s="9"/>
      <c r="C730" s="9"/>
      <c r="D730" s="9"/>
      <c r="E730" s="9"/>
    </row>
    <row r="731" ht="15.75" customHeight="1" spans="1:5">
      <c r="A731" s="9"/>
      <c r="B731" s="9"/>
      <c r="C731" s="9"/>
      <c r="D731" s="9"/>
      <c r="E731" s="9"/>
    </row>
    <row r="732" ht="15.75" customHeight="1" spans="1:5">
      <c r="A732" s="9"/>
      <c r="B732" s="9"/>
      <c r="C732" s="9"/>
      <c r="D732" s="9"/>
      <c r="E732" s="9"/>
    </row>
    <row r="733" ht="15.75" customHeight="1" spans="1:5">
      <c r="A733" s="9"/>
      <c r="B733" s="9"/>
      <c r="C733" s="9"/>
      <c r="D733" s="9"/>
      <c r="E733" s="9"/>
    </row>
    <row r="734" ht="15.75" customHeight="1" spans="1:5">
      <c r="A734" s="9"/>
      <c r="B734" s="9"/>
      <c r="C734" s="9"/>
      <c r="D734" s="9"/>
      <c r="E734" s="9"/>
    </row>
    <row r="735" ht="15.75" customHeight="1" spans="1:5">
      <c r="A735" s="9"/>
      <c r="B735" s="9"/>
      <c r="C735" s="9"/>
      <c r="D735" s="9"/>
      <c r="E735" s="9"/>
    </row>
    <row r="736" ht="15.75" customHeight="1" spans="1:5">
      <c r="A736" s="9"/>
      <c r="B736" s="9"/>
      <c r="C736" s="9"/>
      <c r="D736" s="9"/>
      <c r="E736" s="9"/>
    </row>
    <row r="737" ht="15.75" customHeight="1" spans="1:5">
      <c r="A737" s="9"/>
      <c r="B737" s="9"/>
      <c r="C737" s="9"/>
      <c r="D737" s="9"/>
      <c r="E737" s="9"/>
    </row>
    <row r="738" ht="15.75" customHeight="1" spans="1:5">
      <c r="A738" s="9"/>
      <c r="B738" s="9"/>
      <c r="C738" s="9"/>
      <c r="D738" s="9"/>
      <c r="E738" s="9"/>
    </row>
    <row r="739" ht="15.75" customHeight="1" spans="1:5">
      <c r="A739" s="9"/>
      <c r="B739" s="9"/>
      <c r="C739" s="9"/>
      <c r="D739" s="9"/>
      <c r="E739" s="9"/>
    </row>
    <row r="740" ht="15.75" customHeight="1" spans="1:5">
      <c r="A740" s="9"/>
      <c r="B740" s="9"/>
      <c r="C740" s="9"/>
      <c r="D740" s="9"/>
      <c r="E740" s="9"/>
    </row>
    <row r="741" ht="15.75" customHeight="1" spans="1:5">
      <c r="A741" s="9"/>
      <c r="B741" s="9"/>
      <c r="C741" s="9"/>
      <c r="D741" s="9"/>
      <c r="E741" s="9"/>
    </row>
    <row r="742" ht="15.75" customHeight="1" spans="1:5">
      <c r="A742" s="9"/>
      <c r="B742" s="9"/>
      <c r="C742" s="9"/>
      <c r="D742" s="9"/>
      <c r="E742" s="9"/>
    </row>
    <row r="743" ht="15.75" customHeight="1" spans="1:5">
      <c r="A743" s="9"/>
      <c r="B743" s="9"/>
      <c r="C743" s="9"/>
      <c r="D743" s="9"/>
      <c r="E743" s="9"/>
    </row>
    <row r="744" ht="15.75" customHeight="1" spans="1:5">
      <c r="A744" s="9"/>
      <c r="B744" s="9"/>
      <c r="C744" s="9"/>
      <c r="D744" s="9"/>
      <c r="E744" s="9"/>
    </row>
    <row r="745" ht="15.75" customHeight="1" spans="1:5">
      <c r="A745" s="9"/>
      <c r="B745" s="9"/>
      <c r="C745" s="9"/>
      <c r="D745" s="9"/>
      <c r="E745" s="9"/>
    </row>
    <row r="746" ht="15.75" customHeight="1" spans="1:5">
      <c r="A746" s="9"/>
      <c r="B746" s="9"/>
      <c r="C746" s="9"/>
      <c r="D746" s="9"/>
      <c r="E746" s="9"/>
    </row>
    <row r="747" ht="15.75" customHeight="1" spans="1:5">
      <c r="A747" s="9"/>
      <c r="B747" s="9"/>
      <c r="C747" s="9"/>
      <c r="D747" s="9"/>
      <c r="E747" s="9"/>
    </row>
    <row r="748" ht="15.75" customHeight="1" spans="1:5">
      <c r="A748" s="9"/>
      <c r="B748" s="9"/>
      <c r="C748" s="9"/>
      <c r="D748" s="9"/>
      <c r="E748" s="9"/>
    </row>
    <row r="749" ht="15.75" customHeight="1" spans="1:5">
      <c r="A749" s="9"/>
      <c r="B749" s="9"/>
      <c r="C749" s="9"/>
      <c r="D749" s="9"/>
      <c r="E749" s="9"/>
    </row>
    <row r="750" ht="15.75" customHeight="1" spans="1:5">
      <c r="A750" s="9"/>
      <c r="B750" s="9"/>
      <c r="C750" s="9"/>
      <c r="D750" s="9"/>
      <c r="E750" s="9"/>
    </row>
    <row r="751" ht="15.75" customHeight="1" spans="1:5">
      <c r="A751" s="9"/>
      <c r="B751" s="9"/>
      <c r="C751" s="9"/>
      <c r="D751" s="9"/>
      <c r="E751" s="9"/>
    </row>
    <row r="752" ht="15.75" customHeight="1" spans="1:5">
      <c r="A752" s="9"/>
      <c r="B752" s="9"/>
      <c r="C752" s="9"/>
      <c r="D752" s="9"/>
      <c r="E752" s="9"/>
    </row>
    <row r="753" ht="15.75" customHeight="1" spans="1:5">
      <c r="A753" s="9"/>
      <c r="B753" s="9"/>
      <c r="C753" s="9"/>
      <c r="D753" s="9"/>
      <c r="E753" s="9"/>
    </row>
    <row r="754" ht="15.75" customHeight="1" spans="1:5">
      <c r="A754" s="9"/>
      <c r="B754" s="9"/>
      <c r="C754" s="9"/>
      <c r="D754" s="9"/>
      <c r="E754" s="9"/>
    </row>
    <row r="755" ht="15.75" customHeight="1" spans="1:5">
      <c r="A755" s="9"/>
      <c r="B755" s="9"/>
      <c r="C755" s="9"/>
      <c r="D755" s="9"/>
      <c r="E755" s="9"/>
    </row>
    <row r="756" ht="15.75" customHeight="1" spans="1:5">
      <c r="A756" s="9"/>
      <c r="B756" s="9"/>
      <c r="C756" s="9"/>
      <c r="D756" s="9"/>
      <c r="E756" s="9"/>
    </row>
    <row r="757" ht="15.75" customHeight="1" spans="1:5">
      <c r="A757" s="9"/>
      <c r="B757" s="9"/>
      <c r="C757" s="9"/>
      <c r="D757" s="9"/>
      <c r="E757" s="9"/>
    </row>
    <row r="758" ht="15.75" customHeight="1" spans="1:5">
      <c r="A758" s="9"/>
      <c r="B758" s="9"/>
      <c r="C758" s="9"/>
      <c r="D758" s="9"/>
      <c r="E758" s="9"/>
    </row>
    <row r="759" ht="15.75" customHeight="1" spans="1:5">
      <c r="A759" s="9"/>
      <c r="B759" s="9"/>
      <c r="C759" s="9"/>
      <c r="D759" s="9"/>
      <c r="E759" s="9"/>
    </row>
    <row r="760" ht="15.75" customHeight="1" spans="1:5">
      <c r="A760" s="9"/>
      <c r="B760" s="9"/>
      <c r="C760" s="9"/>
      <c r="D760" s="9"/>
      <c r="E760" s="9"/>
    </row>
    <row r="761" ht="15.75" customHeight="1" spans="1:5">
      <c r="A761" s="9"/>
      <c r="B761" s="9"/>
      <c r="C761" s="9"/>
      <c r="D761" s="9"/>
      <c r="E761" s="9"/>
    </row>
    <row r="762" ht="15.75" customHeight="1" spans="1:5">
      <c r="A762" s="9"/>
      <c r="B762" s="9"/>
      <c r="C762" s="9"/>
      <c r="D762" s="9"/>
      <c r="E762" s="9"/>
    </row>
    <row r="763" ht="15.75" customHeight="1" spans="1:5">
      <c r="A763" s="9"/>
      <c r="B763" s="9"/>
      <c r="C763" s="9"/>
      <c r="D763" s="9"/>
      <c r="E763" s="9"/>
    </row>
    <row r="764" ht="15.75" customHeight="1" spans="1:5">
      <c r="A764" s="9"/>
      <c r="B764" s="9"/>
      <c r="C764" s="9"/>
      <c r="D764" s="9"/>
      <c r="E764" s="9"/>
    </row>
    <row r="765" ht="15.75" customHeight="1" spans="1:5">
      <c r="A765" s="9"/>
      <c r="B765" s="9"/>
      <c r="C765" s="9"/>
      <c r="D765" s="9"/>
      <c r="E765" s="9"/>
    </row>
    <row r="766" ht="15.75" customHeight="1" spans="1:5">
      <c r="A766" s="9"/>
      <c r="B766" s="9"/>
      <c r="C766" s="9"/>
      <c r="D766" s="9"/>
      <c r="E766" s="9"/>
    </row>
    <row r="767" ht="15.75" customHeight="1" spans="1:5">
      <c r="A767" s="9"/>
      <c r="B767" s="9"/>
      <c r="C767" s="9"/>
      <c r="D767" s="9"/>
      <c r="E767" s="9"/>
    </row>
    <row r="768" ht="15.75" customHeight="1" spans="1:5">
      <c r="A768" s="9"/>
      <c r="B768" s="9"/>
      <c r="C768" s="9"/>
      <c r="D768" s="9"/>
      <c r="E768" s="9"/>
    </row>
    <row r="769" ht="15.75" customHeight="1" spans="1:5">
      <c r="A769" s="9"/>
      <c r="B769" s="9"/>
      <c r="C769" s="9"/>
      <c r="D769" s="9"/>
      <c r="E769" s="9"/>
    </row>
    <row r="770" ht="15.75" customHeight="1" spans="1:5">
      <c r="A770" s="9"/>
      <c r="B770" s="9"/>
      <c r="C770" s="9"/>
      <c r="D770" s="9"/>
      <c r="E770" s="9"/>
    </row>
    <row r="771" ht="15.75" customHeight="1" spans="1:5">
      <c r="A771" s="9"/>
      <c r="B771" s="9"/>
      <c r="C771" s="9"/>
      <c r="D771" s="9"/>
      <c r="E771" s="9"/>
    </row>
    <row r="772" ht="15.75" customHeight="1" spans="1:5">
      <c r="A772" s="9"/>
      <c r="B772" s="9"/>
      <c r="C772" s="9"/>
      <c r="D772" s="9"/>
      <c r="E772" s="9"/>
    </row>
    <row r="773" ht="15.75" customHeight="1" spans="1:5">
      <c r="A773" s="9"/>
      <c r="B773" s="9"/>
      <c r="C773" s="9"/>
      <c r="D773" s="9"/>
      <c r="E773" s="9"/>
    </row>
    <row r="774" ht="15.75" customHeight="1" spans="1:5">
      <c r="A774" s="9"/>
      <c r="B774" s="9"/>
      <c r="C774" s="9"/>
      <c r="D774" s="9"/>
      <c r="E774" s="9"/>
    </row>
    <row r="775" ht="15.75" customHeight="1" spans="1:5">
      <c r="A775" s="9"/>
      <c r="B775" s="9"/>
      <c r="C775" s="9"/>
      <c r="D775" s="9"/>
      <c r="E775" s="9"/>
    </row>
    <row r="776" ht="15.75" customHeight="1" spans="1:5">
      <c r="A776" s="9"/>
      <c r="B776" s="9"/>
      <c r="C776" s="9"/>
      <c r="D776" s="9"/>
      <c r="E776" s="9"/>
    </row>
    <row r="777" ht="15.75" customHeight="1" spans="1:5">
      <c r="A777" s="9"/>
      <c r="B777" s="9"/>
      <c r="C777" s="9"/>
      <c r="D777" s="9"/>
      <c r="E777" s="9"/>
    </row>
    <row r="778" ht="15.75" customHeight="1" spans="1:5">
      <c r="A778" s="9"/>
      <c r="B778" s="9"/>
      <c r="C778" s="9"/>
      <c r="D778" s="9"/>
      <c r="E778" s="9"/>
    </row>
    <row r="779" ht="15.75" customHeight="1" spans="1:5">
      <c r="A779" s="9"/>
      <c r="B779" s="9"/>
      <c r="C779" s="9"/>
      <c r="D779" s="9"/>
      <c r="E779" s="9"/>
    </row>
    <row r="780" ht="15.75" customHeight="1" spans="1:5">
      <c r="A780" s="9"/>
      <c r="B780" s="9"/>
      <c r="C780" s="9"/>
      <c r="D780" s="9"/>
      <c r="E780" s="9"/>
    </row>
    <row r="781" ht="15.75" customHeight="1" spans="1:5">
      <c r="A781" s="9"/>
      <c r="B781" s="9"/>
      <c r="C781" s="9"/>
      <c r="D781" s="9"/>
      <c r="E781" s="9"/>
    </row>
    <row r="782" ht="15.75" customHeight="1" spans="1:5">
      <c r="A782" s="9"/>
      <c r="B782" s="9"/>
      <c r="C782" s="9"/>
      <c r="D782" s="9"/>
      <c r="E782" s="9"/>
    </row>
    <row r="783" ht="15.75" customHeight="1" spans="1:5">
      <c r="A783" s="9"/>
      <c r="B783" s="9"/>
      <c r="C783" s="9"/>
      <c r="D783" s="9"/>
      <c r="E783" s="9"/>
    </row>
    <row r="784" ht="15.75" customHeight="1" spans="1:5">
      <c r="A784" s="9"/>
      <c r="B784" s="9"/>
      <c r="C784" s="9"/>
      <c r="D784" s="9"/>
      <c r="E784" s="9"/>
    </row>
    <row r="785" ht="15.75" customHeight="1" spans="1:5">
      <c r="A785" s="9"/>
      <c r="B785" s="9"/>
      <c r="C785" s="9"/>
      <c r="D785" s="9"/>
      <c r="E785" s="9"/>
    </row>
    <row r="786" ht="15.75" customHeight="1" spans="1:5">
      <c r="A786" s="9"/>
      <c r="B786" s="9"/>
      <c r="C786" s="9"/>
      <c r="D786" s="9"/>
      <c r="E786" s="9"/>
    </row>
    <row r="787" ht="15.75" customHeight="1" spans="1:5">
      <c r="A787" s="9"/>
      <c r="B787" s="9"/>
      <c r="C787" s="9"/>
      <c r="D787" s="9"/>
      <c r="E787" s="9"/>
    </row>
    <row r="788" ht="15.75" customHeight="1" spans="1:5">
      <c r="A788" s="9"/>
      <c r="B788" s="9"/>
      <c r="C788" s="9"/>
      <c r="D788" s="9"/>
      <c r="E788" s="9"/>
    </row>
    <row r="789" ht="15.75" customHeight="1" spans="1:5">
      <c r="A789" s="9"/>
      <c r="B789" s="9"/>
      <c r="C789" s="9"/>
      <c r="D789" s="9"/>
      <c r="E789" s="9"/>
    </row>
    <row r="790" ht="15.75" customHeight="1" spans="1:5">
      <c r="A790" s="9"/>
      <c r="B790" s="9"/>
      <c r="C790" s="9"/>
      <c r="D790" s="9"/>
      <c r="E790" s="9"/>
    </row>
    <row r="791" ht="15.75" customHeight="1" spans="1:5">
      <c r="A791" s="9"/>
      <c r="B791" s="9"/>
      <c r="C791" s="9"/>
      <c r="D791" s="9"/>
      <c r="E791" s="9"/>
    </row>
    <row r="792" ht="15.75" customHeight="1" spans="1:5">
      <c r="A792" s="9"/>
      <c r="B792" s="9"/>
      <c r="C792" s="9"/>
      <c r="D792" s="9"/>
      <c r="E792" s="9"/>
    </row>
    <row r="793" ht="15.75" customHeight="1" spans="1:5">
      <c r="A793" s="9"/>
      <c r="B793" s="9"/>
      <c r="C793" s="9"/>
      <c r="D793" s="9"/>
      <c r="E793" s="9"/>
    </row>
    <row r="794" ht="15.75" customHeight="1" spans="1:5">
      <c r="A794" s="9"/>
      <c r="B794" s="9"/>
      <c r="C794" s="9"/>
      <c r="D794" s="9"/>
      <c r="E794" s="9"/>
    </row>
    <row r="795" ht="15.75" customHeight="1" spans="1:5">
      <c r="A795" s="9"/>
      <c r="B795" s="9"/>
      <c r="C795" s="9"/>
      <c r="D795" s="9"/>
      <c r="E795" s="9"/>
    </row>
    <row r="796" ht="15.75" customHeight="1" spans="1:5">
      <c r="A796" s="9"/>
      <c r="B796" s="9"/>
      <c r="C796" s="9"/>
      <c r="D796" s="9"/>
      <c r="E796" s="9"/>
    </row>
    <row r="797" ht="15.75" customHeight="1" spans="1:5">
      <c r="A797" s="9"/>
      <c r="B797" s="9"/>
      <c r="C797" s="9"/>
      <c r="D797" s="9"/>
      <c r="E797" s="9"/>
    </row>
    <row r="798" ht="15.75" customHeight="1" spans="1:5">
      <c r="A798" s="9"/>
      <c r="B798" s="9"/>
      <c r="C798" s="9"/>
      <c r="D798" s="9"/>
      <c r="E798" s="9"/>
    </row>
    <row r="799" ht="15.75" customHeight="1" spans="1:5">
      <c r="A799" s="9"/>
      <c r="B799" s="9"/>
      <c r="C799" s="9"/>
      <c r="D799" s="9"/>
      <c r="E799" s="9"/>
    </row>
    <row r="800" ht="15.75" customHeight="1" spans="1:5">
      <c r="A800" s="9"/>
      <c r="B800" s="9"/>
      <c r="C800" s="9"/>
      <c r="D800" s="9"/>
      <c r="E800" s="9"/>
    </row>
    <row r="801" ht="15.75" customHeight="1" spans="1:5">
      <c r="A801" s="9"/>
      <c r="B801" s="9"/>
      <c r="C801" s="9"/>
      <c r="D801" s="9"/>
      <c r="E801" s="9"/>
    </row>
    <row r="802" ht="15.75" customHeight="1" spans="1:5">
      <c r="A802" s="9"/>
      <c r="B802" s="9"/>
      <c r="C802" s="9"/>
      <c r="D802" s="9"/>
      <c r="E802" s="9"/>
    </row>
    <row r="803" ht="15.75" customHeight="1" spans="1:5">
      <c r="A803" s="9"/>
      <c r="B803" s="9"/>
      <c r="C803" s="9"/>
      <c r="D803" s="9"/>
      <c r="E803" s="9"/>
    </row>
    <row r="804" ht="15.75" customHeight="1" spans="1:5">
      <c r="A804" s="9"/>
      <c r="B804" s="9"/>
      <c r="C804" s="9"/>
      <c r="D804" s="9"/>
      <c r="E804" s="9"/>
    </row>
    <row r="805" ht="15.75" customHeight="1" spans="1:5">
      <c r="A805" s="9"/>
      <c r="B805" s="9"/>
      <c r="C805" s="9"/>
      <c r="D805" s="9"/>
      <c r="E805" s="9"/>
    </row>
    <row r="806" ht="15.75" customHeight="1" spans="1:5">
      <c r="A806" s="9"/>
      <c r="B806" s="9"/>
      <c r="C806" s="9"/>
      <c r="D806" s="9"/>
      <c r="E806" s="9"/>
    </row>
    <row r="807" ht="15.75" customHeight="1" spans="1:5">
      <c r="A807" s="9"/>
      <c r="B807" s="9"/>
      <c r="C807" s="9"/>
      <c r="D807" s="9"/>
      <c r="E807" s="9"/>
    </row>
    <row r="808" ht="15.75" customHeight="1" spans="1:5">
      <c r="A808" s="9"/>
      <c r="B808" s="9"/>
      <c r="C808" s="9"/>
      <c r="D808" s="9"/>
      <c r="E808" s="9"/>
    </row>
    <row r="809" ht="15.75" customHeight="1" spans="1:5">
      <c r="A809" s="9"/>
      <c r="B809" s="9"/>
      <c r="C809" s="9"/>
      <c r="D809" s="9"/>
      <c r="E809" s="9"/>
    </row>
    <row r="810" ht="15.75" customHeight="1" spans="1:5">
      <c r="A810" s="9"/>
      <c r="B810" s="9"/>
      <c r="C810" s="9"/>
      <c r="D810" s="9"/>
      <c r="E810" s="9"/>
    </row>
    <row r="811" ht="15.75" customHeight="1" spans="1:5">
      <c r="A811" s="9"/>
      <c r="B811" s="9"/>
      <c r="C811" s="9"/>
      <c r="D811" s="9"/>
      <c r="E811" s="9"/>
    </row>
    <row r="812" ht="15.75" customHeight="1" spans="1:5">
      <c r="A812" s="9"/>
      <c r="B812" s="9"/>
      <c r="C812" s="9"/>
      <c r="D812" s="9"/>
      <c r="E812" s="9"/>
    </row>
    <row r="813" ht="15.75" customHeight="1" spans="1:5">
      <c r="A813" s="9"/>
      <c r="B813" s="9"/>
      <c r="C813" s="9"/>
      <c r="D813" s="9"/>
      <c r="E813" s="9"/>
    </row>
    <row r="814" ht="15.75" customHeight="1" spans="1:5">
      <c r="A814" s="9"/>
      <c r="B814" s="9"/>
      <c r="C814" s="9"/>
      <c r="D814" s="9"/>
      <c r="E814" s="9"/>
    </row>
    <row r="815" ht="15.75" customHeight="1" spans="1:5">
      <c r="A815" s="9"/>
      <c r="B815" s="9"/>
      <c r="C815" s="9"/>
      <c r="D815" s="9"/>
      <c r="E815" s="9"/>
    </row>
    <row r="816" ht="15.75" customHeight="1" spans="1:5">
      <c r="A816" s="9"/>
      <c r="B816" s="9"/>
      <c r="C816" s="9"/>
      <c r="D816" s="9"/>
      <c r="E816" s="9"/>
    </row>
    <row r="817" ht="15.75" customHeight="1" spans="1:5">
      <c r="A817" s="9"/>
      <c r="B817" s="9"/>
      <c r="C817" s="9"/>
      <c r="D817" s="9"/>
      <c r="E817" s="9"/>
    </row>
    <row r="818" ht="15.75" customHeight="1" spans="1:5">
      <c r="A818" s="9"/>
      <c r="B818" s="9"/>
      <c r="C818" s="9"/>
      <c r="D818" s="9"/>
      <c r="E818" s="9"/>
    </row>
    <row r="819" ht="15.75" customHeight="1" spans="1:5">
      <c r="A819" s="9"/>
      <c r="B819" s="9"/>
      <c r="C819" s="9"/>
      <c r="D819" s="9"/>
      <c r="E819" s="9"/>
    </row>
    <row r="820" ht="15.75" customHeight="1" spans="1:5">
      <c r="A820" s="9"/>
      <c r="B820" s="9"/>
      <c r="C820" s="9"/>
      <c r="D820" s="9"/>
      <c r="E820" s="9"/>
    </row>
    <row r="821" ht="15.75" customHeight="1" spans="1:5">
      <c r="A821" s="9"/>
      <c r="B821" s="9"/>
      <c r="C821" s="9"/>
      <c r="D821" s="9"/>
      <c r="E821" s="9"/>
    </row>
    <row r="822" ht="15.75" customHeight="1" spans="1:5">
      <c r="A822" s="9"/>
      <c r="B822" s="9"/>
      <c r="C822" s="9"/>
      <c r="D822" s="9"/>
      <c r="E822" s="9"/>
    </row>
    <row r="823" ht="15.75" customHeight="1" spans="1:5">
      <c r="A823" s="9"/>
      <c r="B823" s="9"/>
      <c r="C823" s="9"/>
      <c r="D823" s="9"/>
      <c r="E823" s="9"/>
    </row>
    <row r="824" ht="15.75" customHeight="1" spans="1:5">
      <c r="A824" s="9"/>
      <c r="B824" s="9"/>
      <c r="C824" s="9"/>
      <c r="D824" s="9"/>
      <c r="E824" s="9"/>
    </row>
    <row r="825" ht="15.75" customHeight="1" spans="1:5">
      <c r="A825" s="9"/>
      <c r="B825" s="9"/>
      <c r="C825" s="9"/>
      <c r="D825" s="9"/>
      <c r="E825" s="9"/>
    </row>
    <row r="826" ht="15.75" customHeight="1" spans="1:5">
      <c r="A826" s="9"/>
      <c r="B826" s="9"/>
      <c r="C826" s="9"/>
      <c r="D826" s="9"/>
      <c r="E826" s="9"/>
    </row>
    <row r="827" ht="15.75" customHeight="1" spans="1:5">
      <c r="A827" s="9"/>
      <c r="B827" s="9"/>
      <c r="C827" s="9"/>
      <c r="D827" s="9"/>
      <c r="E827" s="9"/>
    </row>
    <row r="828" ht="15.75" customHeight="1" spans="1:5">
      <c r="A828" s="9"/>
      <c r="B828" s="9"/>
      <c r="C828" s="9"/>
      <c r="D828" s="9"/>
      <c r="E828" s="9"/>
    </row>
    <row r="829" ht="15.75" customHeight="1" spans="1:5">
      <c r="A829" s="9"/>
      <c r="B829" s="9"/>
      <c r="C829" s="9"/>
      <c r="D829" s="9"/>
      <c r="E829" s="9"/>
    </row>
    <row r="830" ht="15.75" customHeight="1" spans="1:5">
      <c r="A830" s="9"/>
      <c r="B830" s="9"/>
      <c r="C830" s="9"/>
      <c r="D830" s="9"/>
      <c r="E830" s="9"/>
    </row>
    <row r="831" ht="15.75" customHeight="1" spans="1:5">
      <c r="A831" s="9"/>
      <c r="B831" s="9"/>
      <c r="C831" s="9"/>
      <c r="D831" s="9"/>
      <c r="E831" s="9"/>
    </row>
    <row r="832" ht="15.75" customHeight="1" spans="1:5">
      <c r="A832" s="9"/>
      <c r="B832" s="9"/>
      <c r="C832" s="9"/>
      <c r="D832" s="9"/>
      <c r="E832" s="9"/>
    </row>
    <row r="833" ht="15.75" customHeight="1" spans="1:5">
      <c r="A833" s="9"/>
      <c r="B833" s="9"/>
      <c r="C833" s="9"/>
      <c r="D833" s="9"/>
      <c r="E833" s="9"/>
    </row>
    <row r="834" ht="15.75" customHeight="1" spans="1:5">
      <c r="A834" s="9"/>
      <c r="B834" s="9"/>
      <c r="C834" s="9"/>
      <c r="D834" s="9"/>
      <c r="E834" s="9"/>
    </row>
    <row r="835" ht="15.75" customHeight="1" spans="1:5">
      <c r="A835" s="9"/>
      <c r="B835" s="9"/>
      <c r="C835" s="9"/>
      <c r="D835" s="9"/>
      <c r="E835" s="9"/>
    </row>
    <row r="836" ht="15.75" customHeight="1" spans="1:5">
      <c r="A836" s="9"/>
      <c r="B836" s="9"/>
      <c r="C836" s="9"/>
      <c r="D836" s="9"/>
      <c r="E836" s="9"/>
    </row>
    <row r="837" ht="15.75" customHeight="1" spans="1:5">
      <c r="A837" s="9"/>
      <c r="B837" s="9"/>
      <c r="C837" s="9"/>
      <c r="D837" s="9"/>
      <c r="E837" s="9"/>
    </row>
    <row r="838" ht="15.75" customHeight="1" spans="1:5">
      <c r="A838" s="9"/>
      <c r="B838" s="9"/>
      <c r="C838" s="9"/>
      <c r="D838" s="9"/>
      <c r="E838" s="9"/>
    </row>
    <row r="839" ht="15.75" customHeight="1" spans="1:5">
      <c r="A839" s="9"/>
      <c r="B839" s="9"/>
      <c r="C839" s="9"/>
      <c r="D839" s="9"/>
      <c r="E839" s="9"/>
    </row>
    <row r="840" ht="15.75" customHeight="1" spans="1:5">
      <c r="A840" s="9"/>
      <c r="B840" s="9"/>
      <c r="C840" s="9"/>
      <c r="D840" s="9"/>
      <c r="E840" s="9"/>
    </row>
    <row r="841" ht="15.75" customHeight="1" spans="1:5">
      <c r="A841" s="9"/>
      <c r="B841" s="9"/>
      <c r="C841" s="9"/>
      <c r="D841" s="9"/>
      <c r="E841" s="9"/>
    </row>
    <row r="842" ht="15.75" customHeight="1" spans="1:5">
      <c r="A842" s="9"/>
      <c r="B842" s="9"/>
      <c r="C842" s="9"/>
      <c r="D842" s="9"/>
      <c r="E842" s="9"/>
    </row>
    <row r="843" ht="15.75" customHeight="1" spans="1:5">
      <c r="A843" s="9"/>
      <c r="B843" s="9"/>
      <c r="C843" s="9"/>
      <c r="D843" s="9"/>
      <c r="E843" s="9"/>
    </row>
    <row r="844" ht="15.75" customHeight="1" spans="1:5">
      <c r="A844" s="9"/>
      <c r="B844" s="9"/>
      <c r="C844" s="9"/>
      <c r="D844" s="9"/>
      <c r="E844" s="9"/>
    </row>
    <row r="845" ht="15.75" customHeight="1" spans="1:5">
      <c r="A845" s="9"/>
      <c r="B845" s="9"/>
      <c r="C845" s="9"/>
      <c r="D845" s="9"/>
      <c r="E845" s="9"/>
    </row>
    <row r="846" ht="15.75" customHeight="1" spans="1:5">
      <c r="A846" s="9"/>
      <c r="B846" s="9"/>
      <c r="C846" s="9"/>
      <c r="D846" s="9"/>
      <c r="E846" s="9"/>
    </row>
    <row r="847" ht="15.75" customHeight="1" spans="1:5">
      <c r="A847" s="9"/>
      <c r="B847" s="9"/>
      <c r="C847" s="9"/>
      <c r="D847" s="9"/>
      <c r="E847" s="9"/>
    </row>
    <row r="848" ht="15.75" customHeight="1" spans="1:5">
      <c r="A848" s="9"/>
      <c r="B848" s="9"/>
      <c r="C848" s="9"/>
      <c r="D848" s="9"/>
      <c r="E848" s="9"/>
    </row>
    <row r="849" ht="15.75" customHeight="1" spans="1:5">
      <c r="A849" s="9"/>
      <c r="B849" s="9"/>
      <c r="C849" s="9"/>
      <c r="D849" s="9"/>
      <c r="E849" s="9"/>
    </row>
    <row r="850" ht="15.75" customHeight="1" spans="1:5">
      <c r="A850" s="9"/>
      <c r="B850" s="9"/>
      <c r="C850" s="9"/>
      <c r="D850" s="9"/>
      <c r="E850" s="9"/>
    </row>
    <row r="851" ht="15.75" customHeight="1" spans="1:5">
      <c r="A851" s="9"/>
      <c r="B851" s="9"/>
      <c r="C851" s="9"/>
      <c r="D851" s="9"/>
      <c r="E851" s="9"/>
    </row>
    <row r="852" ht="15.75" customHeight="1" spans="1:5">
      <c r="A852" s="9"/>
      <c r="B852" s="9"/>
      <c r="C852" s="9"/>
      <c r="D852" s="9"/>
      <c r="E852" s="9"/>
    </row>
    <row r="853" ht="15.75" customHeight="1" spans="1:5">
      <c r="A853" s="9"/>
      <c r="B853" s="9"/>
      <c r="C853" s="9"/>
      <c r="D853" s="9"/>
      <c r="E853" s="9"/>
    </row>
    <row r="854" ht="15.75" customHeight="1" spans="1:5">
      <c r="A854" s="9"/>
      <c r="B854" s="9"/>
      <c r="C854" s="9"/>
      <c r="D854" s="9"/>
      <c r="E854" s="9"/>
    </row>
    <row r="855" ht="15.75" customHeight="1" spans="1:5">
      <c r="A855" s="9"/>
      <c r="B855" s="9"/>
      <c r="C855" s="9"/>
      <c r="D855" s="9"/>
      <c r="E855" s="9"/>
    </row>
    <row r="856" ht="15.75" customHeight="1" spans="1:5">
      <c r="A856" s="9"/>
      <c r="B856" s="9"/>
      <c r="C856" s="9"/>
      <c r="D856" s="9"/>
      <c r="E856" s="9"/>
    </row>
    <row r="857" ht="15.75" customHeight="1" spans="1:5">
      <c r="A857" s="9"/>
      <c r="B857" s="9"/>
      <c r="C857" s="9"/>
      <c r="D857" s="9"/>
      <c r="E857" s="9"/>
    </row>
    <row r="858" ht="15.75" customHeight="1" spans="1:5">
      <c r="A858" s="9"/>
      <c r="B858" s="9"/>
      <c r="C858" s="9"/>
      <c r="D858" s="9"/>
      <c r="E858" s="9"/>
    </row>
    <row r="859" ht="15.75" customHeight="1" spans="1:5">
      <c r="A859" s="9"/>
      <c r="B859" s="9"/>
      <c r="C859" s="9"/>
      <c r="D859" s="9"/>
      <c r="E859" s="9"/>
    </row>
    <row r="860" ht="15.75" customHeight="1" spans="1:5">
      <c r="A860" s="9"/>
      <c r="B860" s="9"/>
      <c r="C860" s="9"/>
      <c r="D860" s="9"/>
      <c r="E860" s="9"/>
    </row>
    <row r="861" ht="15.75" customHeight="1" spans="1:5">
      <c r="A861" s="9"/>
      <c r="B861" s="9"/>
      <c r="C861" s="9"/>
      <c r="D861" s="9"/>
      <c r="E861" s="9"/>
    </row>
    <row r="862" ht="15.75" customHeight="1" spans="1:5">
      <c r="A862" s="9"/>
      <c r="B862" s="9"/>
      <c r="C862" s="9"/>
      <c r="D862" s="9"/>
      <c r="E862" s="9"/>
    </row>
    <row r="863" ht="15.75" customHeight="1" spans="1:5">
      <c r="A863" s="9"/>
      <c r="B863" s="9"/>
      <c r="C863" s="9"/>
      <c r="D863" s="9"/>
      <c r="E863" s="9"/>
    </row>
    <row r="864" ht="15.75" customHeight="1" spans="1:5">
      <c r="A864" s="9"/>
      <c r="B864" s="9"/>
      <c r="C864" s="9"/>
      <c r="D864" s="9"/>
      <c r="E864" s="9"/>
    </row>
    <row r="865" ht="15.75" customHeight="1" spans="1:5">
      <c r="A865" s="9"/>
      <c r="B865" s="9"/>
      <c r="C865" s="9"/>
      <c r="D865" s="9"/>
      <c r="E865" s="9"/>
    </row>
    <row r="866" ht="15.75" customHeight="1" spans="1:5">
      <c r="A866" s="9"/>
      <c r="B866" s="9"/>
      <c r="C866" s="9"/>
      <c r="D866" s="9"/>
      <c r="E866" s="9"/>
    </row>
    <row r="867" ht="15.75" customHeight="1" spans="1:5">
      <c r="A867" s="9"/>
      <c r="B867" s="9"/>
      <c r="C867" s="9"/>
      <c r="D867" s="9"/>
      <c r="E867" s="9"/>
    </row>
    <row r="868" ht="15.75" customHeight="1" spans="1:5">
      <c r="A868" s="9"/>
      <c r="B868" s="9"/>
      <c r="C868" s="9"/>
      <c r="D868" s="9"/>
      <c r="E868" s="9"/>
    </row>
    <row r="869" ht="15.75" customHeight="1" spans="1:5">
      <c r="A869" s="9"/>
      <c r="B869" s="9"/>
      <c r="C869" s="9"/>
      <c r="D869" s="9"/>
      <c r="E869" s="9"/>
    </row>
    <row r="870" ht="15.75" customHeight="1" spans="1:5">
      <c r="A870" s="9"/>
      <c r="B870" s="9"/>
      <c r="C870" s="9"/>
      <c r="D870" s="9"/>
      <c r="E870" s="9"/>
    </row>
    <row r="871" ht="15.75" customHeight="1" spans="1:5">
      <c r="A871" s="9"/>
      <c r="B871" s="9"/>
      <c r="C871" s="9"/>
      <c r="D871" s="9"/>
      <c r="E871" s="9"/>
    </row>
    <row r="872" ht="15.75" customHeight="1" spans="1:5">
      <c r="A872" s="9"/>
      <c r="B872" s="9"/>
      <c r="C872" s="9"/>
      <c r="D872" s="9"/>
      <c r="E872" s="9"/>
    </row>
    <row r="873" ht="15.75" customHeight="1" spans="1:5">
      <c r="A873" s="9"/>
      <c r="B873" s="9"/>
      <c r="C873" s="9"/>
      <c r="D873" s="9"/>
      <c r="E873" s="9"/>
    </row>
    <row r="874" ht="15.75" customHeight="1" spans="1:5">
      <c r="A874" s="9"/>
      <c r="B874" s="9"/>
      <c r="C874" s="9"/>
      <c r="D874" s="9"/>
      <c r="E874" s="9"/>
    </row>
    <row r="875" ht="15.75" customHeight="1" spans="1:5">
      <c r="A875" s="9"/>
      <c r="B875" s="9"/>
      <c r="C875" s="9"/>
      <c r="D875" s="9"/>
      <c r="E875" s="9"/>
    </row>
    <row r="876" ht="15.75" customHeight="1" spans="1:5">
      <c r="A876" s="9"/>
      <c r="B876" s="9"/>
      <c r="C876" s="9"/>
      <c r="D876" s="9"/>
      <c r="E876" s="9"/>
    </row>
    <row r="877" ht="15.75" customHeight="1" spans="1:5">
      <c r="A877" s="9"/>
      <c r="B877" s="9"/>
      <c r="C877" s="9"/>
      <c r="D877" s="9"/>
      <c r="E877" s="9"/>
    </row>
    <row r="878" ht="15.75" customHeight="1" spans="1:5">
      <c r="A878" s="9"/>
      <c r="B878" s="9"/>
      <c r="C878" s="9"/>
      <c r="D878" s="9"/>
      <c r="E878" s="9"/>
    </row>
    <row r="879" ht="15.75" customHeight="1" spans="1:5">
      <c r="A879" s="9"/>
      <c r="B879" s="9"/>
      <c r="C879" s="9"/>
      <c r="D879" s="9"/>
      <c r="E879" s="9"/>
    </row>
    <row r="880" ht="15.75" customHeight="1" spans="1:5">
      <c r="A880" s="9"/>
      <c r="B880" s="9"/>
      <c r="C880" s="9"/>
      <c r="D880" s="9"/>
      <c r="E880" s="9"/>
    </row>
    <row r="881" ht="15.75" customHeight="1" spans="1:5">
      <c r="A881" s="9"/>
      <c r="B881" s="9"/>
      <c r="C881" s="9"/>
      <c r="D881" s="9"/>
      <c r="E881" s="9"/>
    </row>
    <row r="882" ht="15.75" customHeight="1" spans="1:5">
      <c r="A882" s="9"/>
      <c r="B882" s="9"/>
      <c r="C882" s="9"/>
      <c r="D882" s="9"/>
      <c r="E882" s="9"/>
    </row>
    <row r="883" ht="15.75" customHeight="1" spans="1:5">
      <c r="A883" s="9"/>
      <c r="B883" s="9"/>
      <c r="C883" s="9"/>
      <c r="D883" s="9"/>
      <c r="E883" s="9"/>
    </row>
    <row r="884" ht="15.75" customHeight="1" spans="1:5">
      <c r="A884" s="9"/>
      <c r="B884" s="9"/>
      <c r="C884" s="9"/>
      <c r="D884" s="9"/>
      <c r="E884" s="9"/>
    </row>
    <row r="885" ht="15.75" customHeight="1" spans="1:5">
      <c r="A885" s="9"/>
      <c r="B885" s="9"/>
      <c r="C885" s="9"/>
      <c r="D885" s="9"/>
      <c r="E885" s="9"/>
    </row>
    <row r="886" ht="15.75" customHeight="1" spans="1:5">
      <c r="A886" s="9"/>
      <c r="B886" s="9"/>
      <c r="C886" s="9"/>
      <c r="D886" s="9"/>
      <c r="E886" s="9"/>
    </row>
    <row r="887" ht="15.75" customHeight="1" spans="1:5">
      <c r="A887" s="9"/>
      <c r="B887" s="9"/>
      <c r="C887" s="9"/>
      <c r="D887" s="9"/>
      <c r="E887" s="9"/>
    </row>
    <row r="888" ht="15.75" customHeight="1" spans="1:5">
      <c r="A888" s="9"/>
      <c r="B888" s="9"/>
      <c r="C888" s="9"/>
      <c r="D888" s="9"/>
      <c r="E888" s="9"/>
    </row>
    <row r="889" ht="15.75" customHeight="1" spans="1:5">
      <c r="A889" s="9"/>
      <c r="B889" s="9"/>
      <c r="C889" s="9"/>
      <c r="D889" s="9"/>
      <c r="E889" s="9"/>
    </row>
    <row r="890" ht="15.75" customHeight="1" spans="1:5">
      <c r="A890" s="9"/>
      <c r="B890" s="9"/>
      <c r="C890" s="9"/>
      <c r="D890" s="9"/>
      <c r="E890" s="9"/>
    </row>
    <row r="891" ht="15.75" customHeight="1" spans="1:5">
      <c r="A891" s="9"/>
      <c r="B891" s="9"/>
      <c r="C891" s="9"/>
      <c r="D891" s="9"/>
      <c r="E891" s="9"/>
    </row>
    <row r="892" ht="15.75" customHeight="1" spans="1:5">
      <c r="A892" s="9"/>
      <c r="B892" s="9"/>
      <c r="C892" s="9"/>
      <c r="D892" s="9"/>
      <c r="E892" s="9"/>
    </row>
    <row r="893" ht="15.75" customHeight="1" spans="1:5">
      <c r="A893" s="9"/>
      <c r="B893" s="9"/>
      <c r="C893" s="9"/>
      <c r="D893" s="9"/>
      <c r="E893" s="9"/>
    </row>
    <row r="894" ht="15.75" customHeight="1" spans="1:5">
      <c r="A894" s="9"/>
      <c r="B894" s="9"/>
      <c r="C894" s="9"/>
      <c r="D894" s="9"/>
      <c r="E894" s="9"/>
    </row>
    <row r="895" ht="15.75" customHeight="1" spans="1:5">
      <c r="A895" s="9"/>
      <c r="B895" s="9"/>
      <c r="C895" s="9"/>
      <c r="D895" s="9"/>
      <c r="E895" s="9"/>
    </row>
    <row r="896" ht="15.75" customHeight="1" spans="1:5">
      <c r="A896" s="9"/>
      <c r="B896" s="9"/>
      <c r="C896" s="9"/>
      <c r="D896" s="9"/>
      <c r="E896" s="9"/>
    </row>
    <row r="897" ht="15.75" customHeight="1" spans="1:5">
      <c r="A897" s="9"/>
      <c r="B897" s="9"/>
      <c r="C897" s="9"/>
      <c r="D897" s="9"/>
      <c r="E897" s="9"/>
    </row>
    <row r="898" ht="15.75" customHeight="1" spans="1:5">
      <c r="A898" s="9"/>
      <c r="B898" s="9"/>
      <c r="C898" s="9"/>
      <c r="D898" s="9"/>
      <c r="E898" s="9"/>
    </row>
    <row r="899" ht="15.75" customHeight="1" spans="1:5">
      <c r="A899" s="9"/>
      <c r="B899" s="9"/>
      <c r="C899" s="9"/>
      <c r="D899" s="9"/>
      <c r="E899" s="9"/>
    </row>
    <row r="900" ht="15.75" customHeight="1" spans="1:5">
      <c r="A900" s="9"/>
      <c r="B900" s="9"/>
      <c r="C900" s="9"/>
      <c r="D900" s="9"/>
      <c r="E900" s="9"/>
    </row>
    <row r="901" ht="15.75" customHeight="1" spans="1:5">
      <c r="A901" s="9"/>
      <c r="B901" s="9"/>
      <c r="C901" s="9"/>
      <c r="D901" s="9"/>
      <c r="E901" s="9"/>
    </row>
    <row r="902" ht="15.75" customHeight="1" spans="1:5">
      <c r="A902" s="9"/>
      <c r="B902" s="9"/>
      <c r="C902" s="9"/>
      <c r="D902" s="9"/>
      <c r="E902" s="9"/>
    </row>
    <row r="903" ht="15.75" customHeight="1" spans="1:5">
      <c r="A903" s="9"/>
      <c r="B903" s="9"/>
      <c r="C903" s="9"/>
      <c r="D903" s="9"/>
      <c r="E903" s="9"/>
    </row>
    <row r="904" ht="15.75" customHeight="1" spans="1:5">
      <c r="A904" s="9"/>
      <c r="B904" s="9"/>
      <c r="C904" s="9"/>
      <c r="D904" s="9"/>
      <c r="E904" s="9"/>
    </row>
    <row r="905" ht="15.75" customHeight="1" spans="1:5">
      <c r="A905" s="9"/>
      <c r="B905" s="9"/>
      <c r="C905" s="9"/>
      <c r="D905" s="9"/>
      <c r="E905" s="9"/>
    </row>
    <row r="906" ht="15.75" customHeight="1" spans="1:5">
      <c r="A906" s="9"/>
      <c r="B906" s="9"/>
      <c r="C906" s="9"/>
      <c r="D906" s="9"/>
      <c r="E906" s="9"/>
    </row>
    <row r="907" ht="15.75" customHeight="1" spans="1:5">
      <c r="A907" s="9"/>
      <c r="B907" s="9"/>
      <c r="C907" s="9"/>
      <c r="D907" s="9"/>
      <c r="E907" s="9"/>
    </row>
    <row r="908" ht="15.75" customHeight="1" spans="1:5">
      <c r="A908" s="9"/>
      <c r="B908" s="9"/>
      <c r="C908" s="9"/>
      <c r="D908" s="9"/>
      <c r="E908" s="9"/>
    </row>
    <row r="909" ht="15.75" customHeight="1" spans="1:5">
      <c r="A909" s="9"/>
      <c r="B909" s="9"/>
      <c r="C909" s="9"/>
      <c r="D909" s="9"/>
      <c r="E909" s="9"/>
    </row>
    <row r="910" ht="15.75" customHeight="1" spans="1:5">
      <c r="A910" s="9"/>
      <c r="B910" s="9"/>
      <c r="C910" s="9"/>
      <c r="D910" s="9"/>
      <c r="E910" s="9"/>
    </row>
    <row r="911" ht="15.75" customHeight="1" spans="1:5">
      <c r="A911" s="9"/>
      <c r="B911" s="9"/>
      <c r="C911" s="9"/>
      <c r="D911" s="9"/>
      <c r="E911" s="9"/>
    </row>
    <row r="912" ht="15.75" customHeight="1" spans="1:5">
      <c r="A912" s="9"/>
      <c r="B912" s="9"/>
      <c r="C912" s="9"/>
      <c r="D912" s="9"/>
      <c r="E912" s="9"/>
    </row>
    <row r="913" ht="15.75" customHeight="1" spans="1:5">
      <c r="A913" s="9"/>
      <c r="B913" s="9"/>
      <c r="C913" s="9"/>
      <c r="D913" s="9"/>
      <c r="E913" s="9"/>
    </row>
    <row r="914" ht="15.75" customHeight="1" spans="1:5">
      <c r="A914" s="9"/>
      <c r="B914" s="9"/>
      <c r="C914" s="9"/>
      <c r="D914" s="9"/>
      <c r="E914" s="9"/>
    </row>
    <row r="915" ht="15.75" customHeight="1" spans="1:5">
      <c r="A915" s="9"/>
      <c r="B915" s="9"/>
      <c r="C915" s="9"/>
      <c r="D915" s="9"/>
      <c r="E915" s="9"/>
    </row>
    <row r="916" ht="15.75" customHeight="1" spans="1:5">
      <c r="A916" s="9"/>
      <c r="B916" s="9"/>
      <c r="C916" s="9"/>
      <c r="D916" s="9"/>
      <c r="E916" s="9"/>
    </row>
    <row r="917" ht="15.75" customHeight="1" spans="1:5">
      <c r="A917" s="9"/>
      <c r="B917" s="9"/>
      <c r="C917" s="9"/>
      <c r="D917" s="9"/>
      <c r="E917" s="9"/>
    </row>
    <row r="918" ht="15.75" customHeight="1" spans="1:5">
      <c r="A918" s="9"/>
      <c r="B918" s="9"/>
      <c r="C918" s="9"/>
      <c r="D918" s="9"/>
      <c r="E918" s="9"/>
    </row>
    <row r="919" ht="15.75" customHeight="1" spans="1:5">
      <c r="A919" s="9"/>
      <c r="B919" s="9"/>
      <c r="C919" s="9"/>
      <c r="D919" s="9"/>
      <c r="E919" s="9"/>
    </row>
    <row r="920" ht="15.75" customHeight="1" spans="1:5">
      <c r="A920" s="9"/>
      <c r="B920" s="9"/>
      <c r="C920" s="9"/>
      <c r="D920" s="9"/>
      <c r="E920" s="9"/>
    </row>
    <row r="921" ht="15.75" customHeight="1" spans="1:5">
      <c r="A921" s="9"/>
      <c r="B921" s="9"/>
      <c r="C921" s="9"/>
      <c r="D921" s="9"/>
      <c r="E921" s="9"/>
    </row>
    <row r="922" ht="15.75" customHeight="1" spans="1:5">
      <c r="A922" s="9"/>
      <c r="B922" s="9"/>
      <c r="C922" s="9"/>
      <c r="D922" s="9"/>
      <c r="E922" s="9"/>
    </row>
    <row r="923" ht="15.75" customHeight="1" spans="1:5">
      <c r="A923" s="9"/>
      <c r="B923" s="9"/>
      <c r="C923" s="9"/>
      <c r="D923" s="9"/>
      <c r="E923" s="9"/>
    </row>
    <row r="924" ht="15.75" customHeight="1" spans="1:5">
      <c r="A924" s="9"/>
      <c r="B924" s="9"/>
      <c r="C924" s="9"/>
      <c r="D924" s="9"/>
      <c r="E924" s="9"/>
    </row>
    <row r="925" ht="15.75" customHeight="1" spans="1:5">
      <c r="A925" s="9"/>
      <c r="B925" s="9"/>
      <c r="C925" s="9"/>
      <c r="D925" s="9"/>
      <c r="E925" s="9"/>
    </row>
    <row r="926" ht="15.75" customHeight="1" spans="1:5">
      <c r="A926" s="9"/>
      <c r="B926" s="9"/>
      <c r="C926" s="9"/>
      <c r="D926" s="9"/>
      <c r="E926" s="9"/>
    </row>
    <row r="927" ht="15.75" customHeight="1" spans="1:5">
      <c r="A927" s="9"/>
      <c r="B927" s="9"/>
      <c r="C927" s="9"/>
      <c r="D927" s="9"/>
      <c r="E927" s="9"/>
    </row>
    <row r="928" ht="15.75" customHeight="1" spans="1:5">
      <c r="A928" s="9"/>
      <c r="B928" s="9"/>
      <c r="C928" s="9"/>
      <c r="D928" s="9"/>
      <c r="E928" s="9"/>
    </row>
    <row r="929" ht="15.75" customHeight="1" spans="1:5">
      <c r="A929" s="9"/>
      <c r="B929" s="9"/>
      <c r="C929" s="9"/>
      <c r="D929" s="9"/>
      <c r="E929" s="9"/>
    </row>
    <row r="930" ht="15.75" customHeight="1" spans="1:5">
      <c r="A930" s="9"/>
      <c r="B930" s="9"/>
      <c r="C930" s="9"/>
      <c r="D930" s="9"/>
      <c r="E930" s="9"/>
    </row>
    <row r="931" ht="15.75" customHeight="1" spans="1:5">
      <c r="A931" s="9"/>
      <c r="B931" s="9"/>
      <c r="C931" s="9"/>
      <c r="D931" s="9"/>
      <c r="E931" s="9"/>
    </row>
    <row r="932" ht="15.75" customHeight="1" spans="1:5">
      <c r="A932" s="9"/>
      <c r="B932" s="9"/>
      <c r="C932" s="9"/>
      <c r="D932" s="9"/>
      <c r="E932" s="9"/>
    </row>
    <row r="933" ht="15.75" customHeight="1" spans="1:5">
      <c r="A933" s="9"/>
      <c r="B933" s="9"/>
      <c r="C933" s="9"/>
      <c r="D933" s="9"/>
      <c r="E933" s="9"/>
    </row>
    <row r="934" ht="15.75" customHeight="1" spans="1:5">
      <c r="A934" s="9"/>
      <c r="B934" s="9"/>
      <c r="C934" s="9"/>
      <c r="D934" s="9"/>
      <c r="E934" s="9"/>
    </row>
    <row r="935" ht="15.75" customHeight="1" spans="1:5">
      <c r="A935" s="9"/>
      <c r="B935" s="9"/>
      <c r="C935" s="9"/>
      <c r="D935" s="9"/>
      <c r="E935" s="9"/>
    </row>
    <row r="936" ht="15.75" customHeight="1" spans="1:5">
      <c r="A936" s="9"/>
      <c r="B936" s="9"/>
      <c r="C936" s="9"/>
      <c r="D936" s="9"/>
      <c r="E936" s="9"/>
    </row>
    <row r="937" ht="15.75" customHeight="1" spans="1:5">
      <c r="A937" s="9"/>
      <c r="B937" s="9"/>
      <c r="C937" s="9"/>
      <c r="D937" s="9"/>
      <c r="E937" s="9"/>
    </row>
    <row r="938" ht="15.75" customHeight="1" spans="1:5">
      <c r="A938" s="9"/>
      <c r="B938" s="9"/>
      <c r="C938" s="9"/>
      <c r="D938" s="9"/>
      <c r="E938" s="9"/>
    </row>
    <row r="939" ht="15.75" customHeight="1" spans="1:5">
      <c r="A939" s="9"/>
      <c r="B939" s="9"/>
      <c r="C939" s="9"/>
      <c r="D939" s="9"/>
      <c r="E939" s="9"/>
    </row>
    <row r="940" ht="15.75" customHeight="1" spans="1:5">
      <c r="A940" s="9"/>
      <c r="B940" s="9"/>
      <c r="C940" s="9"/>
      <c r="D940" s="9"/>
      <c r="E940" s="9"/>
    </row>
    <row r="941" ht="15.75" customHeight="1" spans="1:5">
      <c r="A941" s="9"/>
      <c r="B941" s="9"/>
      <c r="C941" s="9"/>
      <c r="D941" s="9"/>
      <c r="E941" s="9"/>
    </row>
    <row r="942" ht="15.75" customHeight="1" spans="1:5">
      <c r="A942" s="9"/>
      <c r="B942" s="9"/>
      <c r="C942" s="9"/>
      <c r="D942" s="9"/>
      <c r="E942" s="9"/>
    </row>
    <row r="943" ht="15.75" customHeight="1" spans="1:5">
      <c r="A943" s="9"/>
      <c r="B943" s="9"/>
      <c r="C943" s="9"/>
      <c r="D943" s="9"/>
      <c r="E943" s="9"/>
    </row>
    <row r="944" ht="15.75" customHeight="1" spans="1:5">
      <c r="A944" s="9"/>
      <c r="B944" s="9"/>
      <c r="C944" s="9"/>
      <c r="D944" s="9"/>
      <c r="E944" s="9"/>
    </row>
    <row r="945" ht="15.75" customHeight="1" spans="1:5">
      <c r="A945" s="9"/>
      <c r="B945" s="9"/>
      <c r="C945" s="9"/>
      <c r="D945" s="9"/>
      <c r="E945" s="9"/>
    </row>
    <row r="946" ht="15.75" customHeight="1" spans="1:5">
      <c r="A946" s="9"/>
      <c r="B946" s="9"/>
      <c r="C946" s="9"/>
      <c r="D946" s="9"/>
      <c r="E946" s="9"/>
    </row>
    <row r="947" ht="15.75" customHeight="1" spans="1:5">
      <c r="A947" s="9"/>
      <c r="B947" s="9"/>
      <c r="C947" s="9"/>
      <c r="D947" s="9"/>
      <c r="E947" s="9"/>
    </row>
    <row r="948" ht="15.75" customHeight="1" spans="1:5">
      <c r="A948" s="9"/>
      <c r="B948" s="9"/>
      <c r="C948" s="9"/>
      <c r="D948" s="9"/>
      <c r="E948" s="9"/>
    </row>
    <row r="949" ht="15.75" customHeight="1" spans="1:5">
      <c r="A949" s="9"/>
      <c r="B949" s="9"/>
      <c r="C949" s="9"/>
      <c r="D949" s="9"/>
      <c r="E949" s="9"/>
    </row>
    <row r="950" ht="15.75" customHeight="1" spans="1:5">
      <c r="A950" s="9"/>
      <c r="B950" s="9"/>
      <c r="C950" s="9"/>
      <c r="D950" s="9"/>
      <c r="E950" s="9"/>
    </row>
    <row r="951" ht="15.75" customHeight="1" spans="1:5">
      <c r="A951" s="9"/>
      <c r="B951" s="9"/>
      <c r="C951" s="9"/>
      <c r="D951" s="9"/>
      <c r="E951" s="9"/>
    </row>
    <row r="952" ht="15.75" customHeight="1" spans="1:5">
      <c r="A952" s="9"/>
      <c r="B952" s="9"/>
      <c r="C952" s="9"/>
      <c r="D952" s="9"/>
      <c r="E952" s="9"/>
    </row>
    <row r="953" ht="15.75" customHeight="1" spans="1:5">
      <c r="A953" s="9"/>
      <c r="B953" s="9"/>
      <c r="C953" s="9"/>
      <c r="D953" s="9"/>
      <c r="E953" s="9"/>
    </row>
    <row r="954" ht="15.75" customHeight="1" spans="1:5">
      <c r="A954" s="9"/>
      <c r="B954" s="9"/>
      <c r="C954" s="9"/>
      <c r="D954" s="9"/>
      <c r="E954" s="9"/>
    </row>
    <row r="955" ht="15.75" customHeight="1" spans="1:5">
      <c r="A955" s="9"/>
      <c r="B955" s="9"/>
      <c r="C955" s="9"/>
      <c r="D955" s="9"/>
      <c r="E955" s="9"/>
    </row>
    <row r="956" ht="15.75" customHeight="1" spans="1:5">
      <c r="A956" s="9"/>
      <c r="B956" s="9"/>
      <c r="C956" s="9"/>
      <c r="D956" s="9"/>
      <c r="E956" s="9"/>
    </row>
    <row r="957" ht="15.75" customHeight="1" spans="1:5">
      <c r="A957" s="9"/>
      <c r="B957" s="9"/>
      <c r="C957" s="9"/>
      <c r="D957" s="9"/>
      <c r="E957" s="9"/>
    </row>
    <row r="958" ht="15.75" customHeight="1" spans="1:5">
      <c r="A958" s="9"/>
      <c r="B958" s="9"/>
      <c r="C958" s="9"/>
      <c r="D958" s="9"/>
      <c r="E958" s="9"/>
    </row>
    <row r="959" ht="15.75" customHeight="1" spans="1:5">
      <c r="A959" s="9"/>
      <c r="B959" s="9"/>
      <c r="C959" s="9"/>
      <c r="D959" s="9"/>
      <c r="E959" s="9"/>
    </row>
    <row r="960" ht="15.75" customHeight="1" spans="1:5">
      <c r="A960" s="9"/>
      <c r="B960" s="9"/>
      <c r="C960" s="9"/>
      <c r="D960" s="9"/>
      <c r="E960" s="9"/>
    </row>
    <row r="961" ht="15.75" customHeight="1" spans="1:5">
      <c r="A961" s="9"/>
      <c r="B961" s="9"/>
      <c r="C961" s="9"/>
      <c r="D961" s="9"/>
      <c r="E961" s="9"/>
    </row>
    <row r="962" ht="15.75" customHeight="1" spans="1:5">
      <c r="A962" s="9"/>
      <c r="B962" s="9"/>
      <c r="C962" s="9"/>
      <c r="D962" s="9"/>
      <c r="E962" s="9"/>
    </row>
    <row r="963" ht="15.75" customHeight="1" spans="1:5">
      <c r="A963" s="9"/>
      <c r="B963" s="9"/>
      <c r="C963" s="9"/>
      <c r="D963" s="9"/>
      <c r="E963" s="9"/>
    </row>
    <row r="964" ht="15.75" customHeight="1" spans="1:5">
      <c r="A964" s="9"/>
      <c r="B964" s="9"/>
      <c r="C964" s="9"/>
      <c r="D964" s="9"/>
      <c r="E964" s="9"/>
    </row>
    <row r="965" ht="15.75" customHeight="1" spans="1:5">
      <c r="A965" s="9"/>
      <c r="B965" s="9"/>
      <c r="C965" s="9"/>
      <c r="D965" s="9"/>
      <c r="E965" s="9"/>
    </row>
    <row r="966" ht="15.75" customHeight="1" spans="1:5">
      <c r="A966" s="9"/>
      <c r="B966" s="9"/>
      <c r="C966" s="9"/>
      <c r="D966" s="9"/>
      <c r="E966" s="9"/>
    </row>
    <row r="967" ht="15.75" customHeight="1" spans="1:5">
      <c r="A967" s="9"/>
      <c r="B967" s="9"/>
      <c r="C967" s="9"/>
      <c r="D967" s="9"/>
      <c r="E967" s="9"/>
    </row>
    <row r="968" ht="15.75" customHeight="1" spans="1:5">
      <c r="A968" s="9"/>
      <c r="B968" s="9"/>
      <c r="C968" s="9"/>
      <c r="D968" s="9"/>
      <c r="E968" s="9"/>
    </row>
    <row r="969" ht="15.75" customHeight="1" spans="1:5">
      <c r="A969" s="9"/>
      <c r="B969" s="9"/>
      <c r="C969" s="9"/>
      <c r="D969" s="9"/>
      <c r="E969" s="9"/>
    </row>
    <row r="970" ht="15.75" customHeight="1" spans="1:5">
      <c r="A970" s="9"/>
      <c r="B970" s="9"/>
      <c r="C970" s="9"/>
      <c r="D970" s="9"/>
      <c r="E970" s="9"/>
    </row>
    <row r="971" ht="15.75" customHeight="1" spans="1:5">
      <c r="A971" s="9"/>
      <c r="B971" s="9"/>
      <c r="C971" s="9"/>
      <c r="D971" s="9"/>
      <c r="E971" s="9"/>
    </row>
    <row r="972" ht="15.75" customHeight="1" spans="1:5">
      <c r="A972" s="9"/>
      <c r="B972" s="9"/>
      <c r="C972" s="9"/>
      <c r="D972" s="9"/>
      <c r="E972" s="9"/>
    </row>
    <row r="973" ht="15.75" customHeight="1" spans="1:5">
      <c r="A973" s="9"/>
      <c r="B973" s="9"/>
      <c r="C973" s="9"/>
      <c r="D973" s="9"/>
      <c r="E973" s="9"/>
    </row>
    <row r="974" ht="15.75" customHeight="1" spans="1:5">
      <c r="A974" s="9"/>
      <c r="B974" s="9"/>
      <c r="C974" s="9"/>
      <c r="D974" s="9"/>
      <c r="E974" s="9"/>
    </row>
    <row r="975" ht="15.75" customHeight="1" spans="1:5">
      <c r="A975" s="9"/>
      <c r="B975" s="9"/>
      <c r="C975" s="9"/>
      <c r="D975" s="9"/>
      <c r="E975" s="9"/>
    </row>
    <row r="976" ht="15.75" customHeight="1" spans="1:5">
      <c r="A976" s="9"/>
      <c r="B976" s="9"/>
      <c r="C976" s="9"/>
      <c r="D976" s="9"/>
      <c r="E976" s="9"/>
    </row>
    <row r="977" ht="15.75" customHeight="1" spans="1:5">
      <c r="A977" s="9"/>
      <c r="B977" s="9"/>
      <c r="C977" s="9"/>
      <c r="D977" s="9"/>
      <c r="E977" s="9"/>
    </row>
    <row r="978" ht="15.75" customHeight="1" spans="1:5">
      <c r="A978" s="9"/>
      <c r="B978" s="9"/>
      <c r="C978" s="9"/>
      <c r="D978" s="9"/>
      <c r="E978" s="9"/>
    </row>
    <row r="979" ht="15.75" customHeight="1" spans="1:5">
      <c r="A979" s="9"/>
      <c r="B979" s="9"/>
      <c r="C979" s="9"/>
      <c r="D979" s="9"/>
      <c r="E979" s="9"/>
    </row>
    <row r="980" ht="15.75" customHeight="1" spans="1:5">
      <c r="A980" s="9"/>
      <c r="B980" s="9"/>
      <c r="C980" s="9"/>
      <c r="D980" s="9"/>
      <c r="E980" s="9"/>
    </row>
    <row r="981" ht="15.75" customHeight="1" spans="1:5">
      <c r="A981" s="9"/>
      <c r="B981" s="9"/>
      <c r="C981" s="9"/>
      <c r="D981" s="9"/>
      <c r="E981" s="9"/>
    </row>
    <row r="982" ht="15.75" customHeight="1" spans="1:5">
      <c r="A982" s="9"/>
      <c r="B982" s="9"/>
      <c r="C982" s="9"/>
      <c r="D982" s="9"/>
      <c r="E982" s="9"/>
    </row>
    <row r="983" ht="15.75" customHeight="1" spans="1:5">
      <c r="A983" s="9"/>
      <c r="B983" s="9"/>
      <c r="C983" s="9"/>
      <c r="D983" s="9"/>
      <c r="E983" s="9"/>
    </row>
    <row r="984" ht="15.75" customHeight="1" spans="1:5">
      <c r="A984" s="9"/>
      <c r="B984" s="9"/>
      <c r="C984" s="9"/>
      <c r="D984" s="9"/>
      <c r="E984" s="9"/>
    </row>
    <row r="985" ht="15.75" customHeight="1" spans="1:5">
      <c r="A985" s="9"/>
      <c r="B985" s="9"/>
      <c r="C985" s="9"/>
      <c r="D985" s="9"/>
      <c r="E985" s="9"/>
    </row>
    <row r="986" ht="15.75" customHeight="1" spans="1:5">
      <c r="A986" s="9"/>
      <c r="B986" s="9"/>
      <c r="C986" s="9"/>
      <c r="D986" s="9"/>
      <c r="E986" s="9"/>
    </row>
    <row r="987" ht="15.75" customHeight="1" spans="1:5">
      <c r="A987" s="9"/>
      <c r="B987" s="9"/>
      <c r="C987" s="9"/>
      <c r="D987" s="9"/>
      <c r="E987" s="9"/>
    </row>
    <row r="988" ht="15.75" customHeight="1" spans="1:5">
      <c r="A988" s="9"/>
      <c r="B988" s="9"/>
      <c r="C988" s="9"/>
      <c r="D988" s="9"/>
      <c r="E988" s="9"/>
    </row>
    <row r="989" ht="15.75" customHeight="1" spans="1:5">
      <c r="A989" s="9"/>
      <c r="B989" s="9"/>
      <c r="C989" s="9"/>
      <c r="D989" s="9"/>
      <c r="E989" s="9"/>
    </row>
    <row r="990" ht="15.75" customHeight="1" spans="1:5">
      <c r="A990" s="9"/>
      <c r="B990" s="9"/>
      <c r="C990" s="9"/>
      <c r="D990" s="9"/>
      <c r="E990" s="9"/>
    </row>
    <row r="991" ht="15.75" customHeight="1" spans="1:5">
      <c r="A991" s="9"/>
      <c r="B991" s="9"/>
      <c r="C991" s="9"/>
      <c r="D991" s="9"/>
      <c r="E991" s="9"/>
    </row>
    <row r="992" ht="15.75" customHeight="1" spans="1:5">
      <c r="A992" s="9"/>
      <c r="B992" s="9"/>
      <c r="C992" s="9"/>
      <c r="D992" s="9"/>
      <c r="E992" s="9"/>
    </row>
    <row r="993" ht="15.75" customHeight="1" spans="1:5">
      <c r="A993" s="9"/>
      <c r="B993" s="9"/>
      <c r="C993" s="9"/>
      <c r="D993" s="9"/>
      <c r="E993" s="9"/>
    </row>
    <row r="994" ht="15.75" customHeight="1" spans="1:5">
      <c r="A994" s="9"/>
      <c r="B994" s="9"/>
      <c r="C994" s="9"/>
      <c r="D994" s="9"/>
      <c r="E994" s="9"/>
    </row>
    <row r="995" ht="15.75" customHeight="1" spans="1:5">
      <c r="A995" s="9"/>
      <c r="B995" s="9"/>
      <c r="C995" s="9"/>
      <c r="D995" s="9"/>
      <c r="E995" s="9"/>
    </row>
    <row r="996" ht="15.75" customHeight="1" spans="1:5">
      <c r="A996" s="9"/>
      <c r="B996" s="9"/>
      <c r="C996" s="9"/>
      <c r="D996" s="9"/>
      <c r="E996" s="9"/>
    </row>
    <row r="997" ht="15.75" customHeight="1" spans="1:5">
      <c r="A997" s="9"/>
      <c r="B997" s="9"/>
      <c r="C997" s="9"/>
      <c r="D997" s="9"/>
      <c r="E997" s="9"/>
    </row>
    <row r="998" ht="15.75" customHeight="1" spans="1:5">
      <c r="A998" s="9"/>
      <c r="B998" s="9"/>
      <c r="C998" s="9"/>
      <c r="D998" s="9"/>
      <c r="E998" s="9"/>
    </row>
    <row r="999" ht="15.75" customHeight="1" spans="1:5">
      <c r="A999" s="9"/>
      <c r="B999" s="9"/>
      <c r="C999" s="9"/>
      <c r="D999" s="9"/>
      <c r="E999" s="9"/>
    </row>
    <row r="1000" ht="15.75" customHeight="1" spans="1:5">
      <c r="A1000" s="9"/>
      <c r="B1000" s="9"/>
      <c r="C1000" s="9"/>
      <c r="D1000" s="9"/>
      <c r="E1000" s="9"/>
    </row>
  </sheetData>
  <conditionalFormatting sqref="B20:E20">
    <cfRule type="cellIs" dxfId="0" priority="1" operator="notEqual">
      <formula>0</formula>
    </cfRule>
    <cfRule type="cellIs" dxfId="1" priority="2" operator="equal">
      <formula>0</formula>
    </cfRule>
  </conditionalFormatting>
  <pageMargins left="0.75" right="0.75" top="1" bottom="1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14.4296875" defaultRowHeight="15" customHeight="1" outlineLevelCol="3"/>
  <cols>
    <col min="1" max="1" width="34" customWidth="1"/>
    <col min="2" max="2" width="12" customWidth="1"/>
    <col min="3" max="3" width="36" customWidth="1"/>
    <col min="4" max="4" width="90" customWidth="1"/>
    <col min="5" max="26" width="8.7109375" customWidth="1"/>
  </cols>
  <sheetData>
    <row r="1" ht="17.25" customHeight="1" spans="1:4">
      <c r="A1" s="19" t="s">
        <v>44</v>
      </c>
      <c r="B1" s="6"/>
      <c r="C1" s="6"/>
      <c r="D1" s="6"/>
    </row>
    <row r="2" customHeight="1" spans="1:4">
      <c r="A2" s="18" t="s">
        <v>45</v>
      </c>
      <c r="B2" s="6"/>
      <c r="C2" s="6"/>
      <c r="D2" s="6"/>
    </row>
    <row r="3" ht="14" spans="1:4">
      <c r="A3" s="6"/>
      <c r="B3" s="6"/>
      <c r="C3" s="6"/>
      <c r="D3" s="6"/>
    </row>
    <row r="4" customHeight="1" spans="1:4">
      <c r="A4" s="1" t="s">
        <v>46</v>
      </c>
      <c r="B4" s="1" t="s">
        <v>47</v>
      </c>
      <c r="C4" s="1" t="s">
        <v>48</v>
      </c>
      <c r="D4" s="1" t="s">
        <v>49</v>
      </c>
    </row>
    <row r="5" customHeight="1" spans="1:4">
      <c r="A5" s="11" t="s">
        <v>50</v>
      </c>
      <c r="B5" s="41">
        <v>0.03</v>
      </c>
      <c r="C5" s="6"/>
      <c r="D5" s="11" t="s">
        <v>51</v>
      </c>
    </row>
    <row r="6" customHeight="1" spans="1:4">
      <c r="A6" s="11" t="s">
        <v>52</v>
      </c>
      <c r="B6" s="41">
        <v>0.055</v>
      </c>
      <c r="C6" s="23">
        <f>SUM(PL!B6:E6)/SUM(PL!B5:E5)</f>
        <v>0.0545454545454545</v>
      </c>
      <c r="D6" s="11" t="s">
        <v>53</v>
      </c>
    </row>
    <row r="7" customHeight="1" spans="1:4">
      <c r="A7" s="11" t="s">
        <v>54</v>
      </c>
      <c r="B7" s="41">
        <v>0.01</v>
      </c>
      <c r="C7" s="6"/>
      <c r="D7" s="11" t="s">
        <v>55</v>
      </c>
    </row>
    <row r="8" customHeight="1" spans="1:4">
      <c r="A8" s="11" t="s">
        <v>56</v>
      </c>
      <c r="B8" s="42">
        <v>10</v>
      </c>
      <c r="C8" s="43">
        <f>BS!E7/PL!E5*30</f>
        <v>7.5</v>
      </c>
      <c r="D8" s="11" t="s">
        <v>57</v>
      </c>
    </row>
    <row r="9" customHeight="1" spans="1:4">
      <c r="A9" s="11" t="s">
        <v>58</v>
      </c>
      <c r="B9" s="42">
        <v>4</v>
      </c>
      <c r="C9" s="43">
        <f>BS!E11/PL!E8*30</f>
        <v>3.65853658536585</v>
      </c>
      <c r="D9" s="11" t="s">
        <v>59</v>
      </c>
    </row>
    <row r="10" customHeight="1" spans="1:4">
      <c r="A10" s="11" t="s">
        <v>60</v>
      </c>
      <c r="B10" s="44">
        <v>500</v>
      </c>
      <c r="C10" s="6"/>
      <c r="D10" s="11" t="s">
        <v>61</v>
      </c>
    </row>
    <row r="11" customHeight="1" spans="1:4">
      <c r="A11" s="11" t="s">
        <v>62</v>
      </c>
      <c r="B11" s="41">
        <v>0.06</v>
      </c>
      <c r="C11" s="6"/>
      <c r="D11" s="11" t="s">
        <v>63</v>
      </c>
    </row>
    <row r="12" customHeight="1" spans="1:4">
      <c r="A12" s="11" t="s">
        <v>64</v>
      </c>
      <c r="B12" s="41">
        <v>0.2</v>
      </c>
      <c r="C12" s="6"/>
      <c r="D12" s="11" t="s">
        <v>65</v>
      </c>
    </row>
    <row r="13" ht="14" spans="1:4">
      <c r="A13" s="6"/>
      <c r="B13" s="6"/>
      <c r="C13" s="6"/>
      <c r="D13" s="6"/>
    </row>
    <row r="14" ht="14" spans="1:4">
      <c r="A14" s="6"/>
      <c r="B14" s="6"/>
      <c r="C14" s="6"/>
      <c r="D14" s="6"/>
    </row>
    <row r="15" ht="14" spans="1:4">
      <c r="A15" s="1" t="s">
        <v>66</v>
      </c>
      <c r="B15" s="1" t="s">
        <v>47</v>
      </c>
      <c r="C15" s="1" t="s">
        <v>67</v>
      </c>
      <c r="D15" s="1" t="s">
        <v>49</v>
      </c>
    </row>
    <row r="16" ht="14" spans="1:4">
      <c r="A16" s="11" t="s">
        <v>68</v>
      </c>
      <c r="B16" s="41">
        <v>0.12</v>
      </c>
      <c r="C16" s="6"/>
      <c r="D16" s="11" t="s">
        <v>69</v>
      </c>
    </row>
    <row r="17" ht="14" spans="1:4">
      <c r="A17" s="11" t="s">
        <v>70</v>
      </c>
      <c r="B17" s="41">
        <v>0.025</v>
      </c>
      <c r="C17" s="6"/>
      <c r="D17" s="11" t="s">
        <v>71</v>
      </c>
    </row>
    <row r="18" ht="14" spans="1:4">
      <c r="A18" s="11" t="s">
        <v>72</v>
      </c>
      <c r="B18" s="41">
        <v>0.2</v>
      </c>
      <c r="C18" s="6"/>
      <c r="D18" s="11" t="s">
        <v>73</v>
      </c>
    </row>
    <row r="19" ht="14" spans="1:4">
      <c r="A19" s="11" t="s">
        <v>74</v>
      </c>
      <c r="B19" s="41">
        <v>0.15</v>
      </c>
      <c r="C19" s="6"/>
      <c r="D19" s="11" t="s">
        <v>75</v>
      </c>
    </row>
    <row r="20" ht="14" spans="1:4">
      <c r="A20" s="11" t="s">
        <v>76</v>
      </c>
      <c r="B20" s="41">
        <v>0.1</v>
      </c>
      <c r="C20" s="6"/>
      <c r="D20" s="11" t="s">
        <v>75</v>
      </c>
    </row>
    <row r="21" ht="15.75" customHeight="1" spans="1:4">
      <c r="A21" s="11" t="s">
        <v>77</v>
      </c>
      <c r="B21" s="41">
        <v>0.06</v>
      </c>
      <c r="C21" s="6"/>
      <c r="D21" s="11" t="s">
        <v>75</v>
      </c>
    </row>
    <row r="22" ht="15.75" customHeight="1" spans="1:4">
      <c r="A22" s="11" t="s">
        <v>78</v>
      </c>
      <c r="B22" s="41">
        <v>0</v>
      </c>
      <c r="C22" s="6"/>
      <c r="D22" s="11" t="s">
        <v>79</v>
      </c>
    </row>
    <row r="23" ht="15.75" customHeight="1" spans="1:4">
      <c r="A23" s="6"/>
      <c r="B23" s="6"/>
      <c r="C23" s="6"/>
      <c r="D23" s="6"/>
    </row>
    <row r="24" ht="15.75" customHeight="1" spans="1:4">
      <c r="A24" s="6"/>
      <c r="B24" s="6"/>
      <c r="C24" s="6"/>
      <c r="D24" s="6"/>
    </row>
    <row r="25" ht="15.75" customHeight="1" spans="1:4">
      <c r="A25" s="6"/>
      <c r="B25" s="6"/>
      <c r="C25" s="6"/>
      <c r="D25" s="6"/>
    </row>
    <row r="26" ht="15.75" customHeight="1" spans="1:4">
      <c r="A26" s="6"/>
      <c r="B26" s="6"/>
      <c r="C26" s="6"/>
      <c r="D26" s="6"/>
    </row>
    <row r="27" ht="15.75" customHeight="1" spans="1:4">
      <c r="A27" s="6"/>
      <c r="B27" s="6"/>
      <c r="C27" s="6"/>
      <c r="D27" s="6"/>
    </row>
    <row r="28" ht="15.75" customHeight="1" spans="1:4">
      <c r="A28" s="6"/>
      <c r="B28" s="6"/>
      <c r="C28" s="6"/>
      <c r="D28" s="6"/>
    </row>
    <row r="29" ht="15.75" customHeight="1" spans="1:4">
      <c r="A29" s="9"/>
      <c r="B29" s="9"/>
      <c r="C29" s="9"/>
      <c r="D29" s="9"/>
    </row>
    <row r="30" ht="15.75" customHeight="1" spans="1:4">
      <c r="A30" s="9"/>
      <c r="B30" s="9"/>
      <c r="C30" s="9"/>
      <c r="D30" s="9"/>
    </row>
    <row r="31" ht="15.75" customHeight="1" spans="1:4">
      <c r="A31" s="9"/>
      <c r="B31" s="9"/>
      <c r="C31" s="9"/>
      <c r="D31" s="9"/>
    </row>
    <row r="32" ht="15.75" customHeight="1" spans="1:4">
      <c r="A32" s="9"/>
      <c r="B32" s="9"/>
      <c r="C32" s="9"/>
      <c r="D32" s="9"/>
    </row>
    <row r="33" ht="15.75" customHeight="1" spans="1:4">
      <c r="A33" s="9"/>
      <c r="B33" s="9"/>
      <c r="C33" s="9"/>
      <c r="D33" s="9"/>
    </row>
    <row r="34" ht="15.75" customHeight="1" spans="1:4">
      <c r="A34" s="9"/>
      <c r="B34" s="9"/>
      <c r="C34" s="9"/>
      <c r="D34" s="9"/>
    </row>
    <row r="35" ht="15.75" customHeight="1" spans="1:4">
      <c r="A35" s="9"/>
      <c r="B35" s="9"/>
      <c r="C35" s="9"/>
      <c r="D35" s="9"/>
    </row>
    <row r="36" ht="15.75" customHeight="1" spans="1:4">
      <c r="A36" s="9"/>
      <c r="B36" s="9"/>
      <c r="C36" s="9"/>
      <c r="D36" s="9"/>
    </row>
    <row r="37" ht="15.75" customHeight="1" spans="1:4">
      <c r="A37" s="9"/>
      <c r="B37" s="9"/>
      <c r="C37" s="9"/>
      <c r="D37" s="9"/>
    </row>
    <row r="38" ht="15.75" customHeight="1" spans="1:4">
      <c r="A38" s="9"/>
      <c r="B38" s="9"/>
      <c r="C38" s="9"/>
      <c r="D38" s="9"/>
    </row>
    <row r="39" ht="15.75" customHeight="1" spans="1:4">
      <c r="A39" s="9"/>
      <c r="B39" s="9"/>
      <c r="C39" s="9"/>
      <c r="D39" s="9"/>
    </row>
    <row r="40" ht="15.75" customHeight="1" spans="1:4">
      <c r="A40" s="9"/>
      <c r="B40" s="9"/>
      <c r="C40" s="9"/>
      <c r="D40" s="9"/>
    </row>
    <row r="41" ht="15.75" customHeight="1" spans="1:4">
      <c r="A41" s="9"/>
      <c r="B41" s="9"/>
      <c r="C41" s="9"/>
      <c r="D41" s="9"/>
    </row>
    <row r="42" ht="15.75" customHeight="1" spans="1:4">
      <c r="A42" s="9"/>
      <c r="B42" s="9"/>
      <c r="C42" s="9"/>
      <c r="D42" s="9"/>
    </row>
    <row r="43" ht="15.75" customHeight="1" spans="1:4">
      <c r="A43" s="9"/>
      <c r="B43" s="9"/>
      <c r="C43" s="9"/>
      <c r="D43" s="9"/>
    </row>
    <row r="44" ht="15.75" customHeight="1" spans="1:4">
      <c r="A44" s="9"/>
      <c r="B44" s="9"/>
      <c r="C44" s="9"/>
      <c r="D44" s="9"/>
    </row>
    <row r="45" ht="15.75" customHeight="1" spans="1:4">
      <c r="A45" s="9"/>
      <c r="B45" s="9"/>
      <c r="C45" s="9"/>
      <c r="D45" s="9"/>
    </row>
    <row r="46" ht="15.75" customHeight="1" spans="1:4">
      <c r="A46" s="9"/>
      <c r="B46" s="9"/>
      <c r="C46" s="9"/>
      <c r="D46" s="9"/>
    </row>
    <row r="47" ht="15.75" customHeight="1" spans="1:4">
      <c r="A47" s="9"/>
      <c r="B47" s="9"/>
      <c r="C47" s="9"/>
      <c r="D47" s="9"/>
    </row>
    <row r="48" ht="15.75" customHeight="1" spans="1:4">
      <c r="A48" s="9"/>
      <c r="B48" s="9"/>
      <c r="C48" s="9"/>
      <c r="D48" s="9"/>
    </row>
    <row r="49" ht="15.75" customHeight="1" spans="1:4">
      <c r="A49" s="9"/>
      <c r="B49" s="9"/>
      <c r="C49" s="9"/>
      <c r="D49" s="9"/>
    </row>
    <row r="50" ht="15.75" customHeight="1" spans="1:4">
      <c r="A50" s="9"/>
      <c r="B50" s="9"/>
      <c r="C50" s="9"/>
      <c r="D50" s="9"/>
    </row>
    <row r="51" ht="15.75" customHeight="1" spans="1:4">
      <c r="A51" s="9"/>
      <c r="B51" s="9"/>
      <c r="C51" s="9"/>
      <c r="D51" s="9"/>
    </row>
    <row r="52" ht="15.75" customHeight="1" spans="1:4">
      <c r="A52" s="9"/>
      <c r="B52" s="9"/>
      <c r="C52" s="9"/>
      <c r="D52" s="9"/>
    </row>
    <row r="53" ht="15.75" customHeight="1" spans="1:4">
      <c r="A53" s="9"/>
      <c r="B53" s="9"/>
      <c r="C53" s="9"/>
      <c r="D53" s="9"/>
    </row>
    <row r="54" ht="15.75" customHeight="1" spans="1:4">
      <c r="A54" s="9"/>
      <c r="B54" s="9"/>
      <c r="C54" s="9"/>
      <c r="D54" s="9"/>
    </row>
    <row r="55" ht="15.75" customHeight="1" spans="1:4">
      <c r="A55" s="9"/>
      <c r="B55" s="9"/>
      <c r="C55" s="9"/>
      <c r="D55" s="9"/>
    </row>
    <row r="56" ht="15.75" customHeight="1" spans="1:4">
      <c r="A56" s="9"/>
      <c r="B56" s="9"/>
      <c r="C56" s="9"/>
      <c r="D56" s="9"/>
    </row>
    <row r="57" ht="15.75" customHeight="1" spans="1:4">
      <c r="A57" s="9"/>
      <c r="B57" s="9"/>
      <c r="C57" s="9"/>
      <c r="D57" s="9"/>
    </row>
    <row r="58" ht="15.75" customHeight="1" spans="1:4">
      <c r="A58" s="9"/>
      <c r="B58" s="9"/>
      <c r="C58" s="9"/>
      <c r="D58" s="9"/>
    </row>
    <row r="59" ht="15.75" customHeight="1" spans="1:4">
      <c r="A59" s="9"/>
      <c r="B59" s="9"/>
      <c r="C59" s="9"/>
      <c r="D59" s="9"/>
    </row>
    <row r="60" ht="15.75" customHeight="1" spans="1:4">
      <c r="A60" s="9"/>
      <c r="B60" s="9"/>
      <c r="C60" s="9"/>
      <c r="D60" s="9"/>
    </row>
    <row r="61" ht="15.75" customHeight="1" spans="1:4">
      <c r="A61" s="9"/>
      <c r="B61" s="9"/>
      <c r="C61" s="9"/>
      <c r="D61" s="9"/>
    </row>
    <row r="62" ht="15.75" customHeight="1" spans="1:4">
      <c r="A62" s="9"/>
      <c r="B62" s="9"/>
      <c r="C62" s="9"/>
      <c r="D62" s="9"/>
    </row>
    <row r="63" ht="15.75" customHeight="1" spans="1:4">
      <c r="A63" s="9"/>
      <c r="B63" s="9"/>
      <c r="C63" s="9"/>
      <c r="D63" s="9"/>
    </row>
    <row r="64" ht="15.75" customHeight="1" spans="1:4">
      <c r="A64" s="9"/>
      <c r="B64" s="9"/>
      <c r="C64" s="9"/>
      <c r="D64" s="9"/>
    </row>
    <row r="65" ht="15.75" customHeight="1" spans="1:4">
      <c r="A65" s="9"/>
      <c r="B65" s="9"/>
      <c r="C65" s="9"/>
      <c r="D65" s="9"/>
    </row>
    <row r="66" ht="15.75" customHeight="1" spans="1:4">
      <c r="A66" s="9"/>
      <c r="B66" s="9"/>
      <c r="C66" s="9"/>
      <c r="D66" s="9"/>
    </row>
    <row r="67" ht="15.75" customHeight="1" spans="1:4">
      <c r="A67" s="9"/>
      <c r="B67" s="9"/>
      <c r="C67" s="9"/>
      <c r="D67" s="9"/>
    </row>
    <row r="68" ht="15.75" customHeight="1" spans="1:4">
      <c r="A68" s="9"/>
      <c r="B68" s="9"/>
      <c r="C68" s="9"/>
      <c r="D68" s="9"/>
    </row>
    <row r="69" ht="15.75" customHeight="1" spans="1:4">
      <c r="A69" s="9"/>
      <c r="B69" s="9"/>
      <c r="C69" s="9"/>
      <c r="D69" s="9"/>
    </row>
    <row r="70" ht="15.75" customHeight="1" spans="1:4">
      <c r="A70" s="9"/>
      <c r="B70" s="9"/>
      <c r="C70" s="9"/>
      <c r="D70" s="9"/>
    </row>
    <row r="71" ht="15.75" customHeight="1" spans="1:4">
      <c r="A71" s="9"/>
      <c r="B71" s="9"/>
      <c r="C71" s="9"/>
      <c r="D71" s="9"/>
    </row>
    <row r="72" ht="15.75" customHeight="1" spans="1:4">
      <c r="A72" s="9"/>
      <c r="B72" s="9"/>
      <c r="C72" s="9"/>
      <c r="D72" s="9"/>
    </row>
    <row r="73" ht="15.75" customHeight="1" spans="1:4">
      <c r="A73" s="9"/>
      <c r="B73" s="9"/>
      <c r="C73" s="9"/>
      <c r="D73" s="9"/>
    </row>
    <row r="74" ht="15.75" customHeight="1" spans="1:4">
      <c r="A74" s="9"/>
      <c r="B74" s="9"/>
      <c r="C74" s="9"/>
      <c r="D74" s="9"/>
    </row>
    <row r="75" ht="15.75" customHeight="1" spans="1:4">
      <c r="A75" s="9"/>
      <c r="B75" s="9"/>
      <c r="C75" s="9"/>
      <c r="D75" s="9"/>
    </row>
    <row r="76" ht="15.75" customHeight="1" spans="1:4">
      <c r="A76" s="9"/>
      <c r="B76" s="9"/>
      <c r="C76" s="9"/>
      <c r="D76" s="9"/>
    </row>
    <row r="77" ht="15.75" customHeight="1" spans="1:4">
      <c r="A77" s="9"/>
      <c r="B77" s="9"/>
      <c r="C77" s="9"/>
      <c r="D77" s="9"/>
    </row>
    <row r="78" ht="15.75" customHeight="1" spans="1:4">
      <c r="A78" s="9"/>
      <c r="B78" s="9"/>
      <c r="C78" s="9"/>
      <c r="D78" s="9"/>
    </row>
    <row r="79" ht="15.75" customHeight="1" spans="1:4">
      <c r="A79" s="9"/>
      <c r="B79" s="9"/>
      <c r="C79" s="9"/>
      <c r="D79" s="9"/>
    </row>
    <row r="80" ht="15.75" customHeight="1" spans="1:4">
      <c r="A80" s="9"/>
      <c r="B80" s="9"/>
      <c r="C80" s="9"/>
      <c r="D80" s="9"/>
    </row>
    <row r="81" ht="15.75" customHeight="1" spans="1:4">
      <c r="A81" s="9"/>
      <c r="B81" s="9"/>
      <c r="C81" s="9"/>
      <c r="D81" s="9"/>
    </row>
    <row r="82" ht="15.75" customHeight="1" spans="1:4">
      <c r="A82" s="9"/>
      <c r="B82" s="9"/>
      <c r="C82" s="9"/>
      <c r="D82" s="9"/>
    </row>
    <row r="83" ht="15.75" customHeight="1" spans="1:4">
      <c r="A83" s="9"/>
      <c r="B83" s="9"/>
      <c r="C83" s="9"/>
      <c r="D83" s="9"/>
    </row>
    <row r="84" ht="15.75" customHeight="1" spans="1:4">
      <c r="A84" s="9"/>
      <c r="B84" s="9"/>
      <c r="C84" s="9"/>
      <c r="D84" s="9"/>
    </row>
    <row r="85" ht="15.75" customHeight="1" spans="1:4">
      <c r="A85" s="9"/>
      <c r="B85" s="9"/>
      <c r="C85" s="9"/>
      <c r="D85" s="9"/>
    </row>
    <row r="86" ht="15.75" customHeight="1" spans="1:4">
      <c r="A86" s="9"/>
      <c r="B86" s="9"/>
      <c r="C86" s="9"/>
      <c r="D86" s="9"/>
    </row>
    <row r="87" ht="15.75" customHeight="1" spans="1:4">
      <c r="A87" s="9"/>
      <c r="B87" s="9"/>
      <c r="C87" s="9"/>
      <c r="D87" s="9"/>
    </row>
    <row r="88" ht="15.75" customHeight="1" spans="1:4">
      <c r="A88" s="9"/>
      <c r="B88" s="9"/>
      <c r="C88" s="9"/>
      <c r="D88" s="9"/>
    </row>
    <row r="89" ht="15.75" customHeight="1" spans="1:4">
      <c r="A89" s="9"/>
      <c r="B89" s="9"/>
      <c r="C89" s="9"/>
      <c r="D89" s="9"/>
    </row>
    <row r="90" ht="15.75" customHeight="1" spans="1:4">
      <c r="A90" s="9"/>
      <c r="B90" s="9"/>
      <c r="C90" s="9"/>
      <c r="D90" s="9"/>
    </row>
    <row r="91" ht="15.75" customHeight="1" spans="1:4">
      <c r="A91" s="9"/>
      <c r="B91" s="9"/>
      <c r="C91" s="9"/>
      <c r="D91" s="9"/>
    </row>
    <row r="92" ht="15.75" customHeight="1" spans="1:4">
      <c r="A92" s="9"/>
      <c r="B92" s="9"/>
      <c r="C92" s="9"/>
      <c r="D92" s="9"/>
    </row>
    <row r="93" ht="15.75" customHeight="1" spans="1:4">
      <c r="A93" s="9"/>
      <c r="B93" s="9"/>
      <c r="C93" s="9"/>
      <c r="D93" s="9"/>
    </row>
    <row r="94" ht="15.75" customHeight="1" spans="1:4">
      <c r="A94" s="9"/>
      <c r="B94" s="9"/>
      <c r="C94" s="9"/>
      <c r="D94" s="9"/>
    </row>
    <row r="95" ht="15.75" customHeight="1" spans="1:4">
      <c r="A95" s="9"/>
      <c r="B95" s="9"/>
      <c r="C95" s="9"/>
      <c r="D95" s="9"/>
    </row>
    <row r="96" ht="15.75" customHeight="1" spans="1:4">
      <c r="A96" s="9"/>
      <c r="B96" s="9"/>
      <c r="C96" s="9"/>
      <c r="D96" s="9"/>
    </row>
    <row r="97" ht="15.75" customHeight="1" spans="1:4">
      <c r="A97" s="9"/>
      <c r="B97" s="9"/>
      <c r="C97" s="9"/>
      <c r="D97" s="9"/>
    </row>
    <row r="98" ht="15.75" customHeight="1" spans="1:4">
      <c r="A98" s="9"/>
      <c r="B98" s="9"/>
      <c r="C98" s="9"/>
      <c r="D98" s="9"/>
    </row>
    <row r="99" ht="15.75" customHeight="1" spans="1:4">
      <c r="A99" s="9"/>
      <c r="B99" s="9"/>
      <c r="C99" s="9"/>
      <c r="D99" s="9"/>
    </row>
    <row r="100" ht="15.75" customHeight="1" spans="1:4">
      <c r="A100" s="9"/>
      <c r="B100" s="9"/>
      <c r="C100" s="9"/>
      <c r="D100" s="9"/>
    </row>
    <row r="101" ht="15.75" customHeight="1" spans="1:4">
      <c r="A101" s="9"/>
      <c r="B101" s="9"/>
      <c r="C101" s="9"/>
      <c r="D101" s="9"/>
    </row>
    <row r="102" ht="15.75" customHeight="1" spans="1:4">
      <c r="A102" s="9"/>
      <c r="B102" s="9"/>
      <c r="C102" s="9"/>
      <c r="D102" s="9"/>
    </row>
    <row r="103" ht="15.75" customHeight="1" spans="1:4">
      <c r="A103" s="9"/>
      <c r="B103" s="9"/>
      <c r="C103" s="9"/>
      <c r="D103" s="9"/>
    </row>
    <row r="104" ht="15.75" customHeight="1" spans="1:4">
      <c r="A104" s="9"/>
      <c r="B104" s="9"/>
      <c r="C104" s="9"/>
      <c r="D104" s="9"/>
    </row>
    <row r="105" ht="15.75" customHeight="1" spans="1:4">
      <c r="A105" s="9"/>
      <c r="B105" s="9"/>
      <c r="C105" s="9"/>
      <c r="D105" s="9"/>
    </row>
    <row r="106" ht="15.75" customHeight="1" spans="1:4">
      <c r="A106" s="9"/>
      <c r="B106" s="9"/>
      <c r="C106" s="9"/>
      <c r="D106" s="9"/>
    </row>
    <row r="107" ht="15.75" customHeight="1" spans="1:4">
      <c r="A107" s="9"/>
      <c r="B107" s="9"/>
      <c r="C107" s="9"/>
      <c r="D107" s="9"/>
    </row>
    <row r="108" ht="15.75" customHeight="1" spans="1:4">
      <c r="A108" s="9"/>
      <c r="B108" s="9"/>
      <c r="C108" s="9"/>
      <c r="D108" s="9"/>
    </row>
    <row r="109" ht="15.75" customHeight="1" spans="1:4">
      <c r="A109" s="9"/>
      <c r="B109" s="9"/>
      <c r="C109" s="9"/>
      <c r="D109" s="9"/>
    </row>
    <row r="110" ht="15.75" customHeight="1" spans="1:4">
      <c r="A110" s="9"/>
      <c r="B110" s="9"/>
      <c r="C110" s="9"/>
      <c r="D110" s="9"/>
    </row>
    <row r="111" ht="15.75" customHeight="1" spans="1:4">
      <c r="A111" s="9"/>
      <c r="B111" s="9"/>
      <c r="C111" s="9"/>
      <c r="D111" s="9"/>
    </row>
    <row r="112" ht="15.75" customHeight="1" spans="1:4">
      <c r="A112" s="9"/>
      <c r="B112" s="9"/>
      <c r="C112" s="9"/>
      <c r="D112" s="9"/>
    </row>
    <row r="113" ht="15.75" customHeight="1" spans="1:4">
      <c r="A113" s="9"/>
      <c r="B113" s="9"/>
      <c r="C113" s="9"/>
      <c r="D113" s="9"/>
    </row>
    <row r="114" ht="15.75" customHeight="1" spans="1:4">
      <c r="A114" s="9"/>
      <c r="B114" s="9"/>
      <c r="C114" s="9"/>
      <c r="D114" s="9"/>
    </row>
    <row r="115" ht="15.75" customHeight="1" spans="1:4">
      <c r="A115" s="9"/>
      <c r="B115" s="9"/>
      <c r="C115" s="9"/>
      <c r="D115" s="9"/>
    </row>
    <row r="116" ht="15.75" customHeight="1" spans="1:4">
      <c r="A116" s="9"/>
      <c r="B116" s="9"/>
      <c r="C116" s="9"/>
      <c r="D116" s="9"/>
    </row>
    <row r="117" ht="15.75" customHeight="1" spans="1:4">
      <c r="A117" s="9"/>
      <c r="B117" s="9"/>
      <c r="C117" s="9"/>
      <c r="D117" s="9"/>
    </row>
    <row r="118" ht="15.75" customHeight="1" spans="1:4">
      <c r="A118" s="9"/>
      <c r="B118" s="9"/>
      <c r="C118" s="9"/>
      <c r="D118" s="9"/>
    </row>
    <row r="119" ht="15.75" customHeight="1" spans="1:4">
      <c r="A119" s="9"/>
      <c r="B119" s="9"/>
      <c r="C119" s="9"/>
      <c r="D119" s="9"/>
    </row>
    <row r="120" ht="15.75" customHeight="1" spans="1:4">
      <c r="A120" s="9"/>
      <c r="B120" s="9"/>
      <c r="C120" s="9"/>
      <c r="D120" s="9"/>
    </row>
    <row r="121" ht="15.75" customHeight="1" spans="1:4">
      <c r="A121" s="9"/>
      <c r="B121" s="9"/>
      <c r="C121" s="9"/>
      <c r="D121" s="9"/>
    </row>
    <row r="122" ht="15.75" customHeight="1" spans="1:4">
      <c r="A122" s="9"/>
      <c r="B122" s="9"/>
      <c r="C122" s="9"/>
      <c r="D122" s="9"/>
    </row>
    <row r="123" ht="15.75" customHeight="1" spans="1:4">
      <c r="A123" s="9"/>
      <c r="B123" s="9"/>
      <c r="C123" s="9"/>
      <c r="D123" s="9"/>
    </row>
    <row r="124" ht="15.75" customHeight="1" spans="1:4">
      <c r="A124" s="9"/>
      <c r="B124" s="9"/>
      <c r="C124" s="9"/>
      <c r="D124" s="9"/>
    </row>
    <row r="125" ht="15.75" customHeight="1" spans="1:4">
      <c r="A125" s="9"/>
      <c r="B125" s="9"/>
      <c r="C125" s="9"/>
      <c r="D125" s="9"/>
    </row>
    <row r="126" ht="15.75" customHeight="1" spans="1:4">
      <c r="A126" s="9"/>
      <c r="B126" s="9"/>
      <c r="C126" s="9"/>
      <c r="D126" s="9"/>
    </row>
    <row r="127" ht="15.75" customHeight="1" spans="1:4">
      <c r="A127" s="9"/>
      <c r="B127" s="9"/>
      <c r="C127" s="9"/>
      <c r="D127" s="9"/>
    </row>
    <row r="128" ht="15.75" customHeight="1" spans="1:4">
      <c r="A128" s="9"/>
      <c r="B128" s="9"/>
      <c r="C128" s="9"/>
      <c r="D128" s="9"/>
    </row>
    <row r="129" ht="15.75" customHeight="1" spans="1:4">
      <c r="A129" s="9"/>
      <c r="B129" s="9"/>
      <c r="C129" s="9"/>
      <c r="D129" s="9"/>
    </row>
    <row r="130" ht="15.75" customHeight="1" spans="1:4">
      <c r="A130" s="9"/>
      <c r="B130" s="9"/>
      <c r="C130" s="9"/>
      <c r="D130" s="9"/>
    </row>
    <row r="131" ht="15.75" customHeight="1" spans="1:4">
      <c r="A131" s="9"/>
      <c r="B131" s="9"/>
      <c r="C131" s="9"/>
      <c r="D131" s="9"/>
    </row>
    <row r="132" ht="15.75" customHeight="1" spans="1:4">
      <c r="A132" s="9"/>
      <c r="B132" s="9"/>
      <c r="C132" s="9"/>
      <c r="D132" s="9"/>
    </row>
    <row r="133" ht="15.75" customHeight="1" spans="1:4">
      <c r="A133" s="9"/>
      <c r="B133" s="9"/>
      <c r="C133" s="9"/>
      <c r="D133" s="9"/>
    </row>
    <row r="134" ht="15.75" customHeight="1" spans="1:4">
      <c r="A134" s="9"/>
      <c r="B134" s="9"/>
      <c r="C134" s="9"/>
      <c r="D134" s="9"/>
    </row>
    <row r="135" ht="15.75" customHeight="1" spans="1:4">
      <c r="A135" s="9"/>
      <c r="B135" s="9"/>
      <c r="C135" s="9"/>
      <c r="D135" s="9"/>
    </row>
    <row r="136" ht="15.75" customHeight="1" spans="1:4">
      <c r="A136" s="9"/>
      <c r="B136" s="9"/>
      <c r="C136" s="9"/>
      <c r="D136" s="9"/>
    </row>
    <row r="137" ht="15.75" customHeight="1" spans="1:4">
      <c r="A137" s="9"/>
      <c r="B137" s="9"/>
      <c r="C137" s="9"/>
      <c r="D137" s="9"/>
    </row>
    <row r="138" ht="15.75" customHeight="1" spans="1:4">
      <c r="A138" s="9"/>
      <c r="B138" s="9"/>
      <c r="C138" s="9"/>
      <c r="D138" s="9"/>
    </row>
    <row r="139" ht="15.75" customHeight="1" spans="1:4">
      <c r="A139" s="9"/>
      <c r="B139" s="9"/>
      <c r="C139" s="9"/>
      <c r="D139" s="9"/>
    </row>
    <row r="140" ht="15.75" customHeight="1" spans="1:4">
      <c r="A140" s="9"/>
      <c r="B140" s="9"/>
      <c r="C140" s="9"/>
      <c r="D140" s="9"/>
    </row>
    <row r="141" ht="15.75" customHeight="1" spans="1:4">
      <c r="A141" s="9"/>
      <c r="B141" s="9"/>
      <c r="C141" s="9"/>
      <c r="D141" s="9"/>
    </row>
    <row r="142" ht="15.75" customHeight="1" spans="1:4">
      <c r="A142" s="9"/>
      <c r="B142" s="9"/>
      <c r="C142" s="9"/>
      <c r="D142" s="9"/>
    </row>
    <row r="143" ht="15.75" customHeight="1" spans="1:4">
      <c r="A143" s="9"/>
      <c r="B143" s="9"/>
      <c r="C143" s="9"/>
      <c r="D143" s="9"/>
    </row>
    <row r="144" ht="15.75" customHeight="1" spans="1:4">
      <c r="A144" s="9"/>
      <c r="B144" s="9"/>
      <c r="C144" s="9"/>
      <c r="D144" s="9"/>
    </row>
    <row r="145" ht="15.75" customHeight="1" spans="1:4">
      <c r="A145" s="9"/>
      <c r="B145" s="9"/>
      <c r="C145" s="9"/>
      <c r="D145" s="9"/>
    </row>
    <row r="146" ht="15.75" customHeight="1" spans="1:4">
      <c r="A146" s="9"/>
      <c r="B146" s="9"/>
      <c r="C146" s="9"/>
      <c r="D146" s="9"/>
    </row>
    <row r="147" ht="15.75" customHeight="1" spans="1:4">
      <c r="A147" s="9"/>
      <c r="B147" s="9"/>
      <c r="C147" s="9"/>
      <c r="D147" s="9"/>
    </row>
    <row r="148" ht="15.75" customHeight="1" spans="1:4">
      <c r="A148" s="9"/>
      <c r="B148" s="9"/>
      <c r="C148" s="9"/>
      <c r="D148" s="9"/>
    </row>
    <row r="149" ht="15.75" customHeight="1" spans="1:4">
      <c r="A149" s="9"/>
      <c r="B149" s="9"/>
      <c r="C149" s="9"/>
      <c r="D149" s="9"/>
    </row>
    <row r="150" ht="15.75" customHeight="1" spans="1:4">
      <c r="A150" s="9"/>
      <c r="B150" s="9"/>
      <c r="C150" s="9"/>
      <c r="D150" s="9"/>
    </row>
    <row r="151" ht="15.75" customHeight="1" spans="1:4">
      <c r="A151" s="9"/>
      <c r="B151" s="9"/>
      <c r="C151" s="9"/>
      <c r="D151" s="9"/>
    </row>
    <row r="152" ht="15.75" customHeight="1" spans="1:4">
      <c r="A152" s="9"/>
      <c r="B152" s="9"/>
      <c r="C152" s="9"/>
      <c r="D152" s="9"/>
    </row>
    <row r="153" ht="15.75" customHeight="1" spans="1:4">
      <c r="A153" s="9"/>
      <c r="B153" s="9"/>
      <c r="C153" s="9"/>
      <c r="D153" s="9"/>
    </row>
    <row r="154" ht="15.75" customHeight="1" spans="1:4">
      <c r="A154" s="9"/>
      <c r="B154" s="9"/>
      <c r="C154" s="9"/>
      <c r="D154" s="9"/>
    </row>
    <row r="155" ht="15.75" customHeight="1" spans="1:4">
      <c r="A155" s="9"/>
      <c r="B155" s="9"/>
      <c r="C155" s="9"/>
      <c r="D155" s="9"/>
    </row>
    <row r="156" ht="15.75" customHeight="1" spans="1:4">
      <c r="A156" s="9"/>
      <c r="B156" s="9"/>
      <c r="C156" s="9"/>
      <c r="D156" s="9"/>
    </row>
    <row r="157" ht="15.75" customHeight="1" spans="1:4">
      <c r="A157" s="9"/>
      <c r="B157" s="9"/>
      <c r="C157" s="9"/>
      <c r="D157" s="9"/>
    </row>
    <row r="158" ht="15.75" customHeight="1" spans="1:4">
      <c r="A158" s="9"/>
      <c r="B158" s="9"/>
      <c r="C158" s="9"/>
      <c r="D158" s="9"/>
    </row>
    <row r="159" ht="15.75" customHeight="1" spans="1:4">
      <c r="A159" s="9"/>
      <c r="B159" s="9"/>
      <c r="C159" s="9"/>
      <c r="D159" s="9"/>
    </row>
    <row r="160" ht="15.75" customHeight="1" spans="1:4">
      <c r="A160" s="9"/>
      <c r="B160" s="9"/>
      <c r="C160" s="9"/>
      <c r="D160" s="9"/>
    </row>
    <row r="161" ht="15.75" customHeight="1" spans="1:4">
      <c r="A161" s="9"/>
      <c r="B161" s="9"/>
      <c r="C161" s="9"/>
      <c r="D161" s="9"/>
    </row>
    <row r="162" ht="15.75" customHeight="1" spans="1:4">
      <c r="A162" s="9"/>
      <c r="B162" s="9"/>
      <c r="C162" s="9"/>
      <c r="D162" s="9"/>
    </row>
    <row r="163" ht="15.75" customHeight="1" spans="1:4">
      <c r="A163" s="9"/>
      <c r="B163" s="9"/>
      <c r="C163" s="9"/>
      <c r="D163" s="9"/>
    </row>
    <row r="164" ht="15.75" customHeight="1" spans="1:4">
      <c r="A164" s="9"/>
      <c r="B164" s="9"/>
      <c r="C164" s="9"/>
      <c r="D164" s="9"/>
    </row>
    <row r="165" ht="15.75" customHeight="1" spans="1:4">
      <c r="A165" s="9"/>
      <c r="B165" s="9"/>
      <c r="C165" s="9"/>
      <c r="D165" s="9"/>
    </row>
    <row r="166" ht="15.75" customHeight="1" spans="1:4">
      <c r="A166" s="9"/>
      <c r="B166" s="9"/>
      <c r="C166" s="9"/>
      <c r="D166" s="9"/>
    </row>
    <row r="167" ht="15.75" customHeight="1" spans="1:4">
      <c r="A167" s="9"/>
      <c r="B167" s="9"/>
      <c r="C167" s="9"/>
      <c r="D167" s="9"/>
    </row>
    <row r="168" ht="15.75" customHeight="1" spans="1:4">
      <c r="A168" s="9"/>
      <c r="B168" s="9"/>
      <c r="C168" s="9"/>
      <c r="D168" s="9"/>
    </row>
    <row r="169" ht="15.75" customHeight="1" spans="1:4">
      <c r="A169" s="9"/>
      <c r="B169" s="9"/>
      <c r="C169" s="9"/>
      <c r="D169" s="9"/>
    </row>
    <row r="170" ht="15.75" customHeight="1" spans="1:4">
      <c r="A170" s="9"/>
      <c r="B170" s="9"/>
      <c r="C170" s="9"/>
      <c r="D170" s="9"/>
    </row>
    <row r="171" ht="15.75" customHeight="1" spans="1:4">
      <c r="A171" s="9"/>
      <c r="B171" s="9"/>
      <c r="C171" s="9"/>
      <c r="D171" s="9"/>
    </row>
    <row r="172" ht="15.75" customHeight="1" spans="1:4">
      <c r="A172" s="9"/>
      <c r="B172" s="9"/>
      <c r="C172" s="9"/>
      <c r="D172" s="9"/>
    </row>
    <row r="173" ht="15.75" customHeight="1" spans="1:4">
      <c r="A173" s="9"/>
      <c r="B173" s="9"/>
      <c r="C173" s="9"/>
      <c r="D173" s="9"/>
    </row>
    <row r="174" ht="15.75" customHeight="1" spans="1:4">
      <c r="A174" s="9"/>
      <c r="B174" s="9"/>
      <c r="C174" s="9"/>
      <c r="D174" s="9"/>
    </row>
    <row r="175" ht="15.75" customHeight="1" spans="1:4">
      <c r="A175" s="9"/>
      <c r="B175" s="9"/>
      <c r="C175" s="9"/>
      <c r="D175" s="9"/>
    </row>
    <row r="176" ht="15.75" customHeight="1" spans="1:4">
      <c r="A176" s="9"/>
      <c r="B176" s="9"/>
      <c r="C176" s="9"/>
      <c r="D176" s="9"/>
    </row>
    <row r="177" ht="15.75" customHeight="1" spans="1:4">
      <c r="A177" s="9"/>
      <c r="B177" s="9"/>
      <c r="C177" s="9"/>
      <c r="D177" s="9"/>
    </row>
    <row r="178" ht="15.75" customHeight="1" spans="1:4">
      <c r="A178" s="9"/>
      <c r="B178" s="9"/>
      <c r="C178" s="9"/>
      <c r="D178" s="9"/>
    </row>
    <row r="179" ht="15.75" customHeight="1" spans="1:4">
      <c r="A179" s="9"/>
      <c r="B179" s="9"/>
      <c r="C179" s="9"/>
      <c r="D179" s="9"/>
    </row>
    <row r="180" ht="15.75" customHeight="1" spans="1:4">
      <c r="A180" s="9"/>
      <c r="B180" s="9"/>
      <c r="C180" s="9"/>
      <c r="D180" s="9"/>
    </row>
    <row r="181" ht="15.75" customHeight="1" spans="1:4">
      <c r="A181" s="9"/>
      <c r="B181" s="9"/>
      <c r="C181" s="9"/>
      <c r="D181" s="9"/>
    </row>
    <row r="182" ht="15.75" customHeight="1" spans="1:4">
      <c r="A182" s="9"/>
      <c r="B182" s="9"/>
      <c r="C182" s="9"/>
      <c r="D182" s="9"/>
    </row>
    <row r="183" ht="15.75" customHeight="1" spans="1:4">
      <c r="A183" s="9"/>
      <c r="B183" s="9"/>
      <c r="C183" s="9"/>
      <c r="D183" s="9"/>
    </row>
    <row r="184" ht="15.75" customHeight="1" spans="1:4">
      <c r="A184" s="9"/>
      <c r="B184" s="9"/>
      <c r="C184" s="9"/>
      <c r="D184" s="9"/>
    </row>
    <row r="185" ht="15.75" customHeight="1" spans="1:4">
      <c r="A185" s="9"/>
      <c r="B185" s="9"/>
      <c r="C185" s="9"/>
      <c r="D185" s="9"/>
    </row>
    <row r="186" ht="15.75" customHeight="1" spans="1:4">
      <c r="A186" s="9"/>
      <c r="B186" s="9"/>
      <c r="C186" s="9"/>
      <c r="D186" s="9"/>
    </row>
    <row r="187" ht="15.75" customHeight="1" spans="1:4">
      <c r="A187" s="9"/>
      <c r="B187" s="9"/>
      <c r="C187" s="9"/>
      <c r="D187" s="9"/>
    </row>
    <row r="188" ht="15.75" customHeight="1" spans="1:4">
      <c r="A188" s="9"/>
      <c r="B188" s="9"/>
      <c r="C188" s="9"/>
      <c r="D188" s="9"/>
    </row>
    <row r="189" ht="15.75" customHeight="1" spans="1:4">
      <c r="A189" s="9"/>
      <c r="B189" s="9"/>
      <c r="C189" s="9"/>
      <c r="D189" s="9"/>
    </row>
    <row r="190" ht="15.75" customHeight="1" spans="1:4">
      <c r="A190" s="9"/>
      <c r="B190" s="9"/>
      <c r="C190" s="9"/>
      <c r="D190" s="9"/>
    </row>
    <row r="191" ht="15.75" customHeight="1" spans="1:4">
      <c r="A191" s="9"/>
      <c r="B191" s="9"/>
      <c r="C191" s="9"/>
      <c r="D191" s="9"/>
    </row>
    <row r="192" ht="15.75" customHeight="1" spans="1:4">
      <c r="A192" s="9"/>
      <c r="B192" s="9"/>
      <c r="C192" s="9"/>
      <c r="D192" s="9"/>
    </row>
    <row r="193" ht="15.75" customHeight="1" spans="1:4">
      <c r="A193" s="9"/>
      <c r="B193" s="9"/>
      <c r="C193" s="9"/>
      <c r="D193" s="9"/>
    </row>
    <row r="194" ht="15.75" customHeight="1" spans="1:4">
      <c r="A194" s="9"/>
      <c r="B194" s="9"/>
      <c r="C194" s="9"/>
      <c r="D194" s="9"/>
    </row>
    <row r="195" ht="15.75" customHeight="1" spans="1:4">
      <c r="A195" s="9"/>
      <c r="B195" s="9"/>
      <c r="C195" s="9"/>
      <c r="D195" s="9"/>
    </row>
    <row r="196" ht="15.75" customHeight="1" spans="1:4">
      <c r="A196" s="9"/>
      <c r="B196" s="9"/>
      <c r="C196" s="9"/>
      <c r="D196" s="9"/>
    </row>
    <row r="197" ht="15.75" customHeight="1" spans="1:4">
      <c r="A197" s="9"/>
      <c r="B197" s="9"/>
      <c r="C197" s="9"/>
      <c r="D197" s="9"/>
    </row>
    <row r="198" ht="15.75" customHeight="1" spans="1:4">
      <c r="A198" s="9"/>
      <c r="B198" s="9"/>
      <c r="C198" s="9"/>
      <c r="D198" s="9"/>
    </row>
    <row r="199" ht="15.75" customHeight="1" spans="1:4">
      <c r="A199" s="9"/>
      <c r="B199" s="9"/>
      <c r="C199" s="9"/>
      <c r="D199" s="9"/>
    </row>
    <row r="200" ht="15.75" customHeight="1" spans="1:4">
      <c r="A200" s="9"/>
      <c r="B200" s="9"/>
      <c r="C200" s="9"/>
      <c r="D200" s="9"/>
    </row>
    <row r="201" ht="15.75" customHeight="1" spans="1:4">
      <c r="A201" s="9"/>
      <c r="B201" s="9"/>
      <c r="C201" s="9"/>
      <c r="D201" s="9"/>
    </row>
    <row r="202" ht="15.75" customHeight="1" spans="1:4">
      <c r="A202" s="9"/>
      <c r="B202" s="9"/>
      <c r="C202" s="9"/>
      <c r="D202" s="9"/>
    </row>
    <row r="203" ht="15.75" customHeight="1" spans="1:4">
      <c r="A203" s="9"/>
      <c r="B203" s="9"/>
      <c r="C203" s="9"/>
      <c r="D203" s="9"/>
    </row>
    <row r="204" ht="15.75" customHeight="1" spans="1:4">
      <c r="A204" s="9"/>
      <c r="B204" s="9"/>
      <c r="C204" s="9"/>
      <c r="D204" s="9"/>
    </row>
    <row r="205" ht="15.75" customHeight="1" spans="1:4">
      <c r="A205" s="9"/>
      <c r="B205" s="9"/>
      <c r="C205" s="9"/>
      <c r="D205" s="9"/>
    </row>
    <row r="206" ht="15.75" customHeight="1" spans="1:4">
      <c r="A206" s="9"/>
      <c r="B206" s="9"/>
      <c r="C206" s="9"/>
      <c r="D206" s="9"/>
    </row>
    <row r="207" ht="15.75" customHeight="1" spans="1:4">
      <c r="A207" s="9"/>
      <c r="B207" s="9"/>
      <c r="C207" s="9"/>
      <c r="D207" s="9"/>
    </row>
    <row r="208" ht="15.75" customHeight="1" spans="1:4">
      <c r="A208" s="9"/>
      <c r="B208" s="9"/>
      <c r="C208" s="9"/>
      <c r="D208" s="9"/>
    </row>
    <row r="209" ht="15.75" customHeight="1" spans="1:4">
      <c r="A209" s="9"/>
      <c r="B209" s="9"/>
      <c r="C209" s="9"/>
      <c r="D209" s="9"/>
    </row>
    <row r="210" ht="15.75" customHeight="1" spans="1:4">
      <c r="A210" s="9"/>
      <c r="B210" s="9"/>
      <c r="C210" s="9"/>
      <c r="D210" s="9"/>
    </row>
    <row r="211" ht="15.75" customHeight="1" spans="1:4">
      <c r="A211" s="9"/>
      <c r="B211" s="9"/>
      <c r="C211" s="9"/>
      <c r="D211" s="9"/>
    </row>
    <row r="212" ht="15.75" customHeight="1" spans="1:4">
      <c r="A212" s="9"/>
      <c r="B212" s="9"/>
      <c r="C212" s="9"/>
      <c r="D212" s="9"/>
    </row>
    <row r="213" ht="15.75" customHeight="1" spans="1:4">
      <c r="A213" s="9"/>
      <c r="B213" s="9"/>
      <c r="C213" s="9"/>
      <c r="D213" s="9"/>
    </row>
    <row r="214" ht="15.75" customHeight="1" spans="1:4">
      <c r="A214" s="9"/>
      <c r="B214" s="9"/>
      <c r="C214" s="9"/>
      <c r="D214" s="9"/>
    </row>
    <row r="215" ht="15.75" customHeight="1" spans="1:4">
      <c r="A215" s="9"/>
      <c r="B215" s="9"/>
      <c r="C215" s="9"/>
      <c r="D215" s="9"/>
    </row>
    <row r="216" ht="15.75" customHeight="1" spans="1:4">
      <c r="A216" s="9"/>
      <c r="B216" s="9"/>
      <c r="C216" s="9"/>
      <c r="D216" s="9"/>
    </row>
    <row r="217" ht="15.75" customHeight="1" spans="1:4">
      <c r="A217" s="9"/>
      <c r="B217" s="9"/>
      <c r="C217" s="9"/>
      <c r="D217" s="9"/>
    </row>
    <row r="218" ht="15.75" customHeight="1" spans="1:4">
      <c r="A218" s="9"/>
      <c r="B218" s="9"/>
      <c r="C218" s="9"/>
      <c r="D218" s="9"/>
    </row>
    <row r="219" ht="15.75" customHeight="1" spans="1:4">
      <c r="A219" s="9"/>
      <c r="B219" s="9"/>
      <c r="C219" s="9"/>
      <c r="D219" s="9"/>
    </row>
    <row r="220" ht="15.75" customHeight="1" spans="1:4">
      <c r="A220" s="9"/>
      <c r="B220" s="9"/>
      <c r="C220" s="9"/>
      <c r="D220" s="9"/>
    </row>
    <row r="221" ht="15.75" customHeight="1" spans="1:4">
      <c r="A221" s="9"/>
      <c r="B221" s="9"/>
      <c r="C221" s="9"/>
      <c r="D221" s="9"/>
    </row>
    <row r="222" ht="15.75" customHeight="1" spans="1:4">
      <c r="A222" s="9"/>
      <c r="B222" s="9"/>
      <c r="C222" s="9"/>
      <c r="D222" s="9"/>
    </row>
    <row r="223" ht="15.75" customHeight="1" spans="1:4">
      <c r="A223" s="9"/>
      <c r="B223" s="9"/>
      <c r="C223" s="9"/>
      <c r="D223" s="9"/>
    </row>
    <row r="224" ht="15.75" customHeight="1" spans="1:4">
      <c r="A224" s="9"/>
      <c r="B224" s="9"/>
      <c r="C224" s="9"/>
      <c r="D224" s="9"/>
    </row>
    <row r="225" ht="15.75" customHeight="1" spans="1:4">
      <c r="A225" s="9"/>
      <c r="B225" s="9"/>
      <c r="C225" s="9"/>
      <c r="D225" s="9"/>
    </row>
    <row r="226" ht="15.75" customHeight="1" spans="1:4">
      <c r="A226" s="9"/>
      <c r="B226" s="9"/>
      <c r="C226" s="9"/>
      <c r="D226" s="9"/>
    </row>
    <row r="227" ht="15.75" customHeight="1" spans="1:4">
      <c r="A227" s="9"/>
      <c r="B227" s="9"/>
      <c r="C227" s="9"/>
      <c r="D227" s="9"/>
    </row>
    <row r="228" ht="15.75" customHeight="1" spans="1:4">
      <c r="A228" s="9"/>
      <c r="B228" s="9"/>
      <c r="C228" s="9"/>
      <c r="D228" s="9"/>
    </row>
    <row r="229" ht="15.75" customHeight="1" spans="1:4">
      <c r="A229" s="9"/>
      <c r="B229" s="9"/>
      <c r="C229" s="9"/>
      <c r="D229" s="9"/>
    </row>
    <row r="230" ht="15.75" customHeight="1" spans="1:4">
      <c r="A230" s="9"/>
      <c r="B230" s="9"/>
      <c r="C230" s="9"/>
      <c r="D230" s="9"/>
    </row>
    <row r="231" ht="15.75" customHeight="1" spans="1:4">
      <c r="A231" s="9"/>
      <c r="B231" s="9"/>
      <c r="C231" s="9"/>
      <c r="D231" s="9"/>
    </row>
    <row r="232" ht="15.75" customHeight="1" spans="1:4">
      <c r="A232" s="9"/>
      <c r="B232" s="9"/>
      <c r="C232" s="9"/>
      <c r="D232" s="9"/>
    </row>
    <row r="233" ht="15.75" customHeight="1" spans="1:4">
      <c r="A233" s="9"/>
      <c r="B233" s="9"/>
      <c r="C233" s="9"/>
      <c r="D233" s="9"/>
    </row>
    <row r="234" ht="15.75" customHeight="1" spans="1:4">
      <c r="A234" s="9"/>
      <c r="B234" s="9"/>
      <c r="C234" s="9"/>
      <c r="D234" s="9"/>
    </row>
    <row r="235" ht="15.75" customHeight="1" spans="1:4">
      <c r="A235" s="9"/>
      <c r="B235" s="9"/>
      <c r="C235" s="9"/>
      <c r="D235" s="9"/>
    </row>
    <row r="236" ht="15.75" customHeight="1" spans="1:4">
      <c r="A236" s="9"/>
      <c r="B236" s="9"/>
      <c r="C236" s="9"/>
      <c r="D236" s="9"/>
    </row>
    <row r="237" ht="15.75" customHeight="1" spans="1:4">
      <c r="A237" s="9"/>
      <c r="B237" s="9"/>
      <c r="C237" s="9"/>
      <c r="D237" s="9"/>
    </row>
    <row r="238" ht="15.75" customHeight="1" spans="1:4">
      <c r="A238" s="9"/>
      <c r="B238" s="9"/>
      <c r="C238" s="9"/>
      <c r="D238" s="9"/>
    </row>
    <row r="239" ht="15.75" customHeight="1" spans="1:4">
      <c r="A239" s="9"/>
      <c r="B239" s="9"/>
      <c r="C239" s="9"/>
      <c r="D239" s="9"/>
    </row>
    <row r="240" ht="15.75" customHeight="1" spans="1:4">
      <c r="A240" s="9"/>
      <c r="B240" s="9"/>
      <c r="C240" s="9"/>
      <c r="D240" s="9"/>
    </row>
    <row r="241" ht="15.75" customHeight="1" spans="1:4">
      <c r="A241" s="9"/>
      <c r="B241" s="9"/>
      <c r="C241" s="9"/>
      <c r="D241" s="9"/>
    </row>
    <row r="242" ht="15.75" customHeight="1" spans="1:4">
      <c r="A242" s="9"/>
      <c r="B242" s="9"/>
      <c r="C242" s="9"/>
      <c r="D242" s="9"/>
    </row>
    <row r="243" ht="15.75" customHeight="1" spans="1:4">
      <c r="A243" s="9"/>
      <c r="B243" s="9"/>
      <c r="C243" s="9"/>
      <c r="D243" s="9"/>
    </row>
    <row r="244" ht="15.75" customHeight="1" spans="1:4">
      <c r="A244" s="9"/>
      <c r="B244" s="9"/>
      <c r="C244" s="9"/>
      <c r="D244" s="9"/>
    </row>
    <row r="245" ht="15.75" customHeight="1" spans="1:4">
      <c r="A245" s="9"/>
      <c r="B245" s="9"/>
      <c r="C245" s="9"/>
      <c r="D245" s="9"/>
    </row>
    <row r="246" ht="15.75" customHeight="1" spans="1:4">
      <c r="A246" s="9"/>
      <c r="B246" s="9"/>
      <c r="C246" s="9"/>
      <c r="D246" s="9"/>
    </row>
    <row r="247" ht="15.75" customHeight="1" spans="1:4">
      <c r="A247" s="9"/>
      <c r="B247" s="9"/>
      <c r="C247" s="9"/>
      <c r="D247" s="9"/>
    </row>
    <row r="248" ht="15.75" customHeight="1" spans="1:4">
      <c r="A248" s="9"/>
      <c r="B248" s="9"/>
      <c r="C248" s="9"/>
      <c r="D248" s="9"/>
    </row>
    <row r="249" ht="15.75" customHeight="1" spans="1:4">
      <c r="A249" s="9"/>
      <c r="B249" s="9"/>
      <c r="C249" s="9"/>
      <c r="D249" s="9"/>
    </row>
    <row r="250" ht="15.75" customHeight="1" spans="1:4">
      <c r="A250" s="9"/>
      <c r="B250" s="9"/>
      <c r="C250" s="9"/>
      <c r="D250" s="9"/>
    </row>
    <row r="251" ht="15.75" customHeight="1" spans="1:4">
      <c r="A251" s="9"/>
      <c r="B251" s="9"/>
      <c r="C251" s="9"/>
      <c r="D251" s="9"/>
    </row>
    <row r="252" ht="15.75" customHeight="1" spans="1:4">
      <c r="A252" s="9"/>
      <c r="B252" s="9"/>
      <c r="C252" s="9"/>
      <c r="D252" s="9"/>
    </row>
    <row r="253" ht="15.75" customHeight="1" spans="1:4">
      <c r="A253" s="9"/>
      <c r="B253" s="9"/>
      <c r="C253" s="9"/>
      <c r="D253" s="9"/>
    </row>
    <row r="254" ht="15.75" customHeight="1" spans="1:4">
      <c r="A254" s="9"/>
      <c r="B254" s="9"/>
      <c r="C254" s="9"/>
      <c r="D254" s="9"/>
    </row>
    <row r="255" ht="15.75" customHeight="1" spans="1:4">
      <c r="A255" s="9"/>
      <c r="B255" s="9"/>
      <c r="C255" s="9"/>
      <c r="D255" s="9"/>
    </row>
    <row r="256" ht="15.75" customHeight="1" spans="1:4">
      <c r="A256" s="9"/>
      <c r="B256" s="9"/>
      <c r="C256" s="9"/>
      <c r="D256" s="9"/>
    </row>
    <row r="257" ht="15.75" customHeight="1" spans="1:4">
      <c r="A257" s="9"/>
      <c r="B257" s="9"/>
      <c r="C257" s="9"/>
      <c r="D257" s="9"/>
    </row>
    <row r="258" ht="15.75" customHeight="1" spans="1:4">
      <c r="A258" s="9"/>
      <c r="B258" s="9"/>
      <c r="C258" s="9"/>
      <c r="D258" s="9"/>
    </row>
    <row r="259" ht="15.75" customHeight="1" spans="1:4">
      <c r="A259" s="9"/>
      <c r="B259" s="9"/>
      <c r="C259" s="9"/>
      <c r="D259" s="9"/>
    </row>
    <row r="260" ht="15.75" customHeight="1" spans="1:4">
      <c r="A260" s="9"/>
      <c r="B260" s="9"/>
      <c r="C260" s="9"/>
      <c r="D260" s="9"/>
    </row>
    <row r="261" ht="15.75" customHeight="1" spans="1:4">
      <c r="A261" s="9"/>
      <c r="B261" s="9"/>
      <c r="C261" s="9"/>
      <c r="D261" s="9"/>
    </row>
    <row r="262" ht="15.75" customHeight="1" spans="1:4">
      <c r="A262" s="9"/>
      <c r="B262" s="9"/>
      <c r="C262" s="9"/>
      <c r="D262" s="9"/>
    </row>
    <row r="263" ht="15.75" customHeight="1" spans="1:4">
      <c r="A263" s="9"/>
      <c r="B263" s="9"/>
      <c r="C263" s="9"/>
      <c r="D263" s="9"/>
    </row>
    <row r="264" ht="15.75" customHeight="1" spans="1:4">
      <c r="A264" s="9"/>
      <c r="B264" s="9"/>
      <c r="C264" s="9"/>
      <c r="D264" s="9"/>
    </row>
    <row r="265" ht="15.75" customHeight="1" spans="1:4">
      <c r="A265" s="9"/>
      <c r="B265" s="9"/>
      <c r="C265" s="9"/>
      <c r="D265" s="9"/>
    </row>
    <row r="266" ht="15.75" customHeight="1" spans="1:4">
      <c r="A266" s="9"/>
      <c r="B266" s="9"/>
      <c r="C266" s="9"/>
      <c r="D266" s="9"/>
    </row>
    <row r="267" ht="15.75" customHeight="1" spans="1:4">
      <c r="A267" s="9"/>
      <c r="B267" s="9"/>
      <c r="C267" s="9"/>
      <c r="D267" s="9"/>
    </row>
    <row r="268" ht="15.75" customHeight="1" spans="1:4">
      <c r="A268" s="9"/>
      <c r="B268" s="9"/>
      <c r="C268" s="9"/>
      <c r="D268" s="9"/>
    </row>
    <row r="269" ht="15.75" customHeight="1" spans="1:4">
      <c r="A269" s="9"/>
      <c r="B269" s="9"/>
      <c r="C269" s="9"/>
      <c r="D269" s="9"/>
    </row>
    <row r="270" ht="15.75" customHeight="1" spans="1:4">
      <c r="A270" s="9"/>
      <c r="B270" s="9"/>
      <c r="C270" s="9"/>
      <c r="D270" s="9"/>
    </row>
    <row r="271" ht="15.75" customHeight="1" spans="1:4">
      <c r="A271" s="9"/>
      <c r="B271" s="9"/>
      <c r="C271" s="9"/>
      <c r="D271" s="9"/>
    </row>
    <row r="272" ht="15.75" customHeight="1" spans="1:4">
      <c r="A272" s="9"/>
      <c r="B272" s="9"/>
      <c r="C272" s="9"/>
      <c r="D272" s="9"/>
    </row>
    <row r="273" ht="15.75" customHeight="1" spans="1:4">
      <c r="A273" s="9"/>
      <c r="B273" s="9"/>
      <c r="C273" s="9"/>
      <c r="D273" s="9"/>
    </row>
    <row r="274" ht="15.75" customHeight="1" spans="1:4">
      <c r="A274" s="9"/>
      <c r="B274" s="9"/>
      <c r="C274" s="9"/>
      <c r="D274" s="9"/>
    </row>
    <row r="275" ht="15.75" customHeight="1" spans="1:4">
      <c r="A275" s="9"/>
      <c r="B275" s="9"/>
      <c r="C275" s="9"/>
      <c r="D275" s="9"/>
    </row>
    <row r="276" ht="15.75" customHeight="1" spans="1:4">
      <c r="A276" s="9"/>
      <c r="B276" s="9"/>
      <c r="C276" s="9"/>
      <c r="D276" s="9"/>
    </row>
    <row r="277" ht="15.75" customHeight="1" spans="1:4">
      <c r="A277" s="9"/>
      <c r="B277" s="9"/>
      <c r="C277" s="9"/>
      <c r="D277" s="9"/>
    </row>
    <row r="278" ht="15.75" customHeight="1" spans="1:4">
      <c r="A278" s="9"/>
      <c r="B278" s="9"/>
      <c r="C278" s="9"/>
      <c r="D278" s="9"/>
    </row>
    <row r="279" ht="15.75" customHeight="1" spans="1:4">
      <c r="A279" s="9"/>
      <c r="B279" s="9"/>
      <c r="C279" s="9"/>
      <c r="D279" s="9"/>
    </row>
    <row r="280" ht="15.75" customHeight="1" spans="1:4">
      <c r="A280" s="9"/>
      <c r="B280" s="9"/>
      <c r="C280" s="9"/>
      <c r="D280" s="9"/>
    </row>
    <row r="281" ht="15.75" customHeight="1" spans="1:4">
      <c r="A281" s="9"/>
      <c r="B281" s="9"/>
      <c r="C281" s="9"/>
      <c r="D281" s="9"/>
    </row>
    <row r="282" ht="15.75" customHeight="1" spans="1:4">
      <c r="A282" s="9"/>
      <c r="B282" s="9"/>
      <c r="C282" s="9"/>
      <c r="D282" s="9"/>
    </row>
    <row r="283" ht="15.75" customHeight="1" spans="1:4">
      <c r="A283" s="9"/>
      <c r="B283" s="9"/>
      <c r="C283" s="9"/>
      <c r="D283" s="9"/>
    </row>
    <row r="284" ht="15.75" customHeight="1" spans="1:4">
      <c r="A284" s="9"/>
      <c r="B284" s="9"/>
      <c r="C284" s="9"/>
      <c r="D284" s="9"/>
    </row>
    <row r="285" ht="15.75" customHeight="1" spans="1:4">
      <c r="A285" s="9"/>
      <c r="B285" s="9"/>
      <c r="C285" s="9"/>
      <c r="D285" s="9"/>
    </row>
    <row r="286" ht="15.75" customHeight="1" spans="1:4">
      <c r="A286" s="9"/>
      <c r="B286" s="9"/>
      <c r="C286" s="9"/>
      <c r="D286" s="9"/>
    </row>
    <row r="287" ht="15.75" customHeight="1" spans="1:4">
      <c r="A287" s="9"/>
      <c r="B287" s="9"/>
      <c r="C287" s="9"/>
      <c r="D287" s="9"/>
    </row>
    <row r="288" ht="15.75" customHeight="1" spans="1:4">
      <c r="A288" s="9"/>
      <c r="B288" s="9"/>
      <c r="C288" s="9"/>
      <c r="D288" s="9"/>
    </row>
    <row r="289" ht="15.75" customHeight="1" spans="1:4">
      <c r="A289" s="9"/>
      <c r="B289" s="9"/>
      <c r="C289" s="9"/>
      <c r="D289" s="9"/>
    </row>
    <row r="290" ht="15.75" customHeight="1" spans="1:4">
      <c r="A290" s="9"/>
      <c r="B290" s="9"/>
      <c r="C290" s="9"/>
      <c r="D290" s="9"/>
    </row>
    <row r="291" ht="15.75" customHeight="1" spans="1:4">
      <c r="A291" s="9"/>
      <c r="B291" s="9"/>
      <c r="C291" s="9"/>
      <c r="D291" s="9"/>
    </row>
    <row r="292" ht="15.75" customHeight="1" spans="1:4">
      <c r="A292" s="9"/>
      <c r="B292" s="9"/>
      <c r="C292" s="9"/>
      <c r="D292" s="9"/>
    </row>
    <row r="293" ht="15.75" customHeight="1" spans="1:4">
      <c r="A293" s="9"/>
      <c r="B293" s="9"/>
      <c r="C293" s="9"/>
      <c r="D293" s="9"/>
    </row>
    <row r="294" ht="15.75" customHeight="1" spans="1:4">
      <c r="A294" s="9"/>
      <c r="B294" s="9"/>
      <c r="C294" s="9"/>
      <c r="D294" s="9"/>
    </row>
    <row r="295" ht="15.75" customHeight="1" spans="1:4">
      <c r="A295" s="9"/>
      <c r="B295" s="9"/>
      <c r="C295" s="9"/>
      <c r="D295" s="9"/>
    </row>
    <row r="296" ht="15.75" customHeight="1" spans="1:4">
      <c r="A296" s="9"/>
      <c r="B296" s="9"/>
      <c r="C296" s="9"/>
      <c r="D296" s="9"/>
    </row>
    <row r="297" ht="15.75" customHeight="1" spans="1:4">
      <c r="A297" s="9"/>
      <c r="B297" s="9"/>
      <c r="C297" s="9"/>
      <c r="D297" s="9"/>
    </row>
    <row r="298" ht="15.75" customHeight="1" spans="1:4">
      <c r="A298" s="9"/>
      <c r="B298" s="9"/>
      <c r="C298" s="9"/>
      <c r="D298" s="9"/>
    </row>
    <row r="299" ht="15.75" customHeight="1" spans="1:4">
      <c r="A299" s="9"/>
      <c r="B299" s="9"/>
      <c r="C299" s="9"/>
      <c r="D299" s="9"/>
    </row>
    <row r="300" ht="15.75" customHeight="1" spans="1:4">
      <c r="A300" s="9"/>
      <c r="B300" s="9"/>
      <c r="C300" s="9"/>
      <c r="D300" s="9"/>
    </row>
    <row r="301" ht="15.75" customHeight="1" spans="1:4">
      <c r="A301" s="9"/>
      <c r="B301" s="9"/>
      <c r="C301" s="9"/>
      <c r="D301" s="9"/>
    </row>
    <row r="302" ht="15.75" customHeight="1" spans="1:4">
      <c r="A302" s="9"/>
      <c r="B302" s="9"/>
      <c r="C302" s="9"/>
      <c r="D302" s="9"/>
    </row>
    <row r="303" ht="15.75" customHeight="1" spans="1:4">
      <c r="A303" s="9"/>
      <c r="B303" s="9"/>
      <c r="C303" s="9"/>
      <c r="D303" s="9"/>
    </row>
    <row r="304" ht="15.75" customHeight="1" spans="1:4">
      <c r="A304" s="9"/>
      <c r="B304" s="9"/>
      <c r="C304" s="9"/>
      <c r="D304" s="9"/>
    </row>
    <row r="305" ht="15.75" customHeight="1" spans="1:4">
      <c r="A305" s="9"/>
      <c r="B305" s="9"/>
      <c r="C305" s="9"/>
      <c r="D305" s="9"/>
    </row>
    <row r="306" ht="15.75" customHeight="1" spans="1:4">
      <c r="A306" s="9"/>
      <c r="B306" s="9"/>
      <c r="C306" s="9"/>
      <c r="D306" s="9"/>
    </row>
    <row r="307" ht="15.75" customHeight="1" spans="1:4">
      <c r="A307" s="9"/>
      <c r="B307" s="9"/>
      <c r="C307" s="9"/>
      <c r="D307" s="9"/>
    </row>
    <row r="308" ht="15.75" customHeight="1" spans="1:4">
      <c r="A308" s="9"/>
      <c r="B308" s="9"/>
      <c r="C308" s="9"/>
      <c r="D308" s="9"/>
    </row>
    <row r="309" ht="15.75" customHeight="1" spans="1:4">
      <c r="A309" s="9"/>
      <c r="B309" s="9"/>
      <c r="C309" s="9"/>
      <c r="D309" s="9"/>
    </row>
    <row r="310" ht="15.75" customHeight="1" spans="1:4">
      <c r="A310" s="9"/>
      <c r="B310" s="9"/>
      <c r="C310" s="9"/>
      <c r="D310" s="9"/>
    </row>
    <row r="311" ht="15.75" customHeight="1" spans="1:4">
      <c r="A311" s="9"/>
      <c r="B311" s="9"/>
      <c r="C311" s="9"/>
      <c r="D311" s="9"/>
    </row>
    <row r="312" ht="15.75" customHeight="1" spans="1:4">
      <c r="A312" s="9"/>
      <c r="B312" s="9"/>
      <c r="C312" s="9"/>
      <c r="D312" s="9"/>
    </row>
    <row r="313" ht="15.75" customHeight="1" spans="1:4">
      <c r="A313" s="9"/>
      <c r="B313" s="9"/>
      <c r="C313" s="9"/>
      <c r="D313" s="9"/>
    </row>
    <row r="314" ht="15.75" customHeight="1" spans="1:4">
      <c r="A314" s="9"/>
      <c r="B314" s="9"/>
      <c r="C314" s="9"/>
      <c r="D314" s="9"/>
    </row>
    <row r="315" ht="15.75" customHeight="1" spans="1:4">
      <c r="A315" s="9"/>
      <c r="B315" s="9"/>
      <c r="C315" s="9"/>
      <c r="D315" s="9"/>
    </row>
    <row r="316" ht="15.75" customHeight="1" spans="1:4">
      <c r="A316" s="9"/>
      <c r="B316" s="9"/>
      <c r="C316" s="9"/>
      <c r="D316" s="9"/>
    </row>
    <row r="317" ht="15.75" customHeight="1" spans="1:4">
      <c r="A317" s="9"/>
      <c r="B317" s="9"/>
      <c r="C317" s="9"/>
      <c r="D317" s="9"/>
    </row>
    <row r="318" ht="15.75" customHeight="1" spans="1:4">
      <c r="A318" s="9"/>
      <c r="B318" s="9"/>
      <c r="C318" s="9"/>
      <c r="D318" s="9"/>
    </row>
    <row r="319" ht="15.75" customHeight="1" spans="1:4">
      <c r="A319" s="9"/>
      <c r="B319" s="9"/>
      <c r="C319" s="9"/>
      <c r="D319" s="9"/>
    </row>
    <row r="320" ht="15.75" customHeight="1" spans="1:4">
      <c r="A320" s="9"/>
      <c r="B320" s="9"/>
      <c r="C320" s="9"/>
      <c r="D320" s="9"/>
    </row>
    <row r="321" ht="15.75" customHeight="1" spans="1:4">
      <c r="A321" s="9"/>
      <c r="B321" s="9"/>
      <c r="C321" s="9"/>
      <c r="D321" s="9"/>
    </row>
    <row r="322" ht="15.75" customHeight="1" spans="1:4">
      <c r="A322" s="9"/>
      <c r="B322" s="9"/>
      <c r="C322" s="9"/>
      <c r="D322" s="9"/>
    </row>
    <row r="323" ht="15.75" customHeight="1" spans="1:4">
      <c r="A323" s="9"/>
      <c r="B323" s="9"/>
      <c r="C323" s="9"/>
      <c r="D323" s="9"/>
    </row>
    <row r="324" ht="15.75" customHeight="1" spans="1:4">
      <c r="A324" s="9"/>
      <c r="B324" s="9"/>
      <c r="C324" s="9"/>
      <c r="D324" s="9"/>
    </row>
    <row r="325" ht="15.75" customHeight="1" spans="1:4">
      <c r="A325" s="9"/>
      <c r="B325" s="9"/>
      <c r="C325" s="9"/>
      <c r="D325" s="9"/>
    </row>
    <row r="326" ht="15.75" customHeight="1" spans="1:4">
      <c r="A326" s="9"/>
      <c r="B326" s="9"/>
      <c r="C326" s="9"/>
      <c r="D326" s="9"/>
    </row>
    <row r="327" ht="15.75" customHeight="1" spans="1:4">
      <c r="A327" s="9"/>
      <c r="B327" s="9"/>
      <c r="C327" s="9"/>
      <c r="D327" s="9"/>
    </row>
    <row r="328" ht="15.75" customHeight="1" spans="1:4">
      <c r="A328" s="9"/>
      <c r="B328" s="9"/>
      <c r="C328" s="9"/>
      <c r="D328" s="9"/>
    </row>
    <row r="329" ht="15.75" customHeight="1" spans="1:4">
      <c r="A329" s="9"/>
      <c r="B329" s="9"/>
      <c r="C329" s="9"/>
      <c r="D329" s="9"/>
    </row>
    <row r="330" ht="15.75" customHeight="1" spans="1:4">
      <c r="A330" s="9"/>
      <c r="B330" s="9"/>
      <c r="C330" s="9"/>
      <c r="D330" s="9"/>
    </row>
    <row r="331" ht="15.75" customHeight="1" spans="1:4">
      <c r="A331" s="9"/>
      <c r="B331" s="9"/>
      <c r="C331" s="9"/>
      <c r="D331" s="9"/>
    </row>
    <row r="332" ht="15.75" customHeight="1" spans="1:4">
      <c r="A332" s="9"/>
      <c r="B332" s="9"/>
      <c r="C332" s="9"/>
      <c r="D332" s="9"/>
    </row>
    <row r="333" ht="15.75" customHeight="1" spans="1:4">
      <c r="A333" s="9"/>
      <c r="B333" s="9"/>
      <c r="C333" s="9"/>
      <c r="D333" s="9"/>
    </row>
    <row r="334" ht="15.75" customHeight="1" spans="1:4">
      <c r="A334" s="9"/>
      <c r="B334" s="9"/>
      <c r="C334" s="9"/>
      <c r="D334" s="9"/>
    </row>
    <row r="335" ht="15.75" customHeight="1" spans="1:4">
      <c r="A335" s="9"/>
      <c r="B335" s="9"/>
      <c r="C335" s="9"/>
      <c r="D335" s="9"/>
    </row>
    <row r="336" ht="15.75" customHeight="1" spans="1:4">
      <c r="A336" s="9"/>
      <c r="B336" s="9"/>
      <c r="C336" s="9"/>
      <c r="D336" s="9"/>
    </row>
    <row r="337" ht="15.75" customHeight="1" spans="1:4">
      <c r="A337" s="9"/>
      <c r="B337" s="9"/>
      <c r="C337" s="9"/>
      <c r="D337" s="9"/>
    </row>
    <row r="338" ht="15.75" customHeight="1" spans="1:4">
      <c r="A338" s="9"/>
      <c r="B338" s="9"/>
      <c r="C338" s="9"/>
      <c r="D338" s="9"/>
    </row>
    <row r="339" ht="15.75" customHeight="1" spans="1:4">
      <c r="A339" s="9"/>
      <c r="B339" s="9"/>
      <c r="C339" s="9"/>
      <c r="D339" s="9"/>
    </row>
    <row r="340" ht="15.75" customHeight="1" spans="1:4">
      <c r="A340" s="9"/>
      <c r="B340" s="9"/>
      <c r="C340" s="9"/>
      <c r="D340" s="9"/>
    </row>
    <row r="341" ht="15.75" customHeight="1" spans="1:4">
      <c r="A341" s="9"/>
      <c r="B341" s="9"/>
      <c r="C341" s="9"/>
      <c r="D341" s="9"/>
    </row>
    <row r="342" ht="15.75" customHeight="1" spans="1:4">
      <c r="A342" s="9"/>
      <c r="B342" s="9"/>
      <c r="C342" s="9"/>
      <c r="D342" s="9"/>
    </row>
    <row r="343" ht="15.75" customHeight="1" spans="1:4">
      <c r="A343" s="9"/>
      <c r="B343" s="9"/>
      <c r="C343" s="9"/>
      <c r="D343" s="9"/>
    </row>
    <row r="344" ht="15.75" customHeight="1" spans="1:4">
      <c r="A344" s="9"/>
      <c r="B344" s="9"/>
      <c r="C344" s="9"/>
      <c r="D344" s="9"/>
    </row>
    <row r="345" ht="15.75" customHeight="1" spans="1:4">
      <c r="A345" s="9"/>
      <c r="B345" s="9"/>
      <c r="C345" s="9"/>
      <c r="D345" s="9"/>
    </row>
    <row r="346" ht="15.75" customHeight="1" spans="1:4">
      <c r="A346" s="9"/>
      <c r="B346" s="9"/>
      <c r="C346" s="9"/>
      <c r="D346" s="9"/>
    </row>
    <row r="347" ht="15.75" customHeight="1" spans="1:4">
      <c r="A347" s="9"/>
      <c r="B347" s="9"/>
      <c r="C347" s="9"/>
      <c r="D347" s="9"/>
    </row>
    <row r="348" ht="15.75" customHeight="1" spans="1:4">
      <c r="A348" s="9"/>
      <c r="B348" s="9"/>
      <c r="C348" s="9"/>
      <c r="D348" s="9"/>
    </row>
    <row r="349" ht="15.75" customHeight="1" spans="1:4">
      <c r="A349" s="9"/>
      <c r="B349" s="9"/>
      <c r="C349" s="9"/>
      <c r="D349" s="9"/>
    </row>
    <row r="350" ht="15.75" customHeight="1" spans="1:4">
      <c r="A350" s="9"/>
      <c r="B350" s="9"/>
      <c r="C350" s="9"/>
      <c r="D350" s="9"/>
    </row>
    <row r="351" ht="15.75" customHeight="1" spans="1:4">
      <c r="A351" s="9"/>
      <c r="B351" s="9"/>
      <c r="C351" s="9"/>
      <c r="D351" s="9"/>
    </row>
    <row r="352" ht="15.75" customHeight="1" spans="1:4">
      <c r="A352" s="9"/>
      <c r="B352" s="9"/>
      <c r="C352" s="9"/>
      <c r="D352" s="9"/>
    </row>
    <row r="353" ht="15.75" customHeight="1" spans="1:4">
      <c r="A353" s="9"/>
      <c r="B353" s="9"/>
      <c r="C353" s="9"/>
      <c r="D353" s="9"/>
    </row>
    <row r="354" ht="15.75" customHeight="1" spans="1:4">
      <c r="A354" s="9"/>
      <c r="B354" s="9"/>
      <c r="C354" s="9"/>
      <c r="D354" s="9"/>
    </row>
    <row r="355" ht="15.75" customHeight="1" spans="1:4">
      <c r="A355" s="9"/>
      <c r="B355" s="9"/>
      <c r="C355" s="9"/>
      <c r="D355" s="9"/>
    </row>
    <row r="356" ht="15.75" customHeight="1" spans="1:4">
      <c r="A356" s="9"/>
      <c r="B356" s="9"/>
      <c r="C356" s="9"/>
      <c r="D356" s="9"/>
    </row>
    <row r="357" ht="15.75" customHeight="1" spans="1:4">
      <c r="A357" s="9"/>
      <c r="B357" s="9"/>
      <c r="C357" s="9"/>
      <c r="D357" s="9"/>
    </row>
    <row r="358" ht="15.75" customHeight="1" spans="1:4">
      <c r="A358" s="9"/>
      <c r="B358" s="9"/>
      <c r="C358" s="9"/>
      <c r="D358" s="9"/>
    </row>
    <row r="359" ht="15.75" customHeight="1" spans="1:4">
      <c r="A359" s="9"/>
      <c r="B359" s="9"/>
      <c r="C359" s="9"/>
      <c r="D359" s="9"/>
    </row>
    <row r="360" ht="15.75" customHeight="1" spans="1:4">
      <c r="A360" s="9"/>
      <c r="B360" s="9"/>
      <c r="C360" s="9"/>
      <c r="D360" s="9"/>
    </row>
    <row r="361" ht="15.75" customHeight="1" spans="1:4">
      <c r="A361" s="9"/>
      <c r="B361" s="9"/>
      <c r="C361" s="9"/>
      <c r="D361" s="9"/>
    </row>
    <row r="362" ht="15.75" customHeight="1" spans="1:4">
      <c r="A362" s="9"/>
      <c r="B362" s="9"/>
      <c r="C362" s="9"/>
      <c r="D362" s="9"/>
    </row>
    <row r="363" ht="15.75" customHeight="1" spans="1:4">
      <c r="A363" s="9"/>
      <c r="B363" s="9"/>
      <c r="C363" s="9"/>
      <c r="D363" s="9"/>
    </row>
    <row r="364" ht="15.75" customHeight="1" spans="1:4">
      <c r="A364" s="9"/>
      <c r="B364" s="9"/>
      <c r="C364" s="9"/>
      <c r="D364" s="9"/>
    </row>
    <row r="365" ht="15.75" customHeight="1" spans="1:4">
      <c r="A365" s="9"/>
      <c r="B365" s="9"/>
      <c r="C365" s="9"/>
      <c r="D365" s="9"/>
    </row>
    <row r="366" ht="15.75" customHeight="1" spans="1:4">
      <c r="A366" s="9"/>
      <c r="B366" s="9"/>
      <c r="C366" s="9"/>
      <c r="D366" s="9"/>
    </row>
    <row r="367" ht="15.75" customHeight="1" spans="1:4">
      <c r="A367" s="9"/>
      <c r="B367" s="9"/>
      <c r="C367" s="9"/>
      <c r="D367" s="9"/>
    </row>
    <row r="368" ht="15.75" customHeight="1" spans="1:4">
      <c r="A368" s="9"/>
      <c r="B368" s="9"/>
      <c r="C368" s="9"/>
      <c r="D368" s="9"/>
    </row>
    <row r="369" ht="15.75" customHeight="1" spans="1:4">
      <c r="A369" s="9"/>
      <c r="B369" s="9"/>
      <c r="C369" s="9"/>
      <c r="D369" s="9"/>
    </row>
    <row r="370" ht="15.75" customHeight="1" spans="1:4">
      <c r="A370" s="9"/>
      <c r="B370" s="9"/>
      <c r="C370" s="9"/>
      <c r="D370" s="9"/>
    </row>
    <row r="371" ht="15.75" customHeight="1" spans="1:4">
      <c r="A371" s="9"/>
      <c r="B371" s="9"/>
      <c r="C371" s="9"/>
      <c r="D371" s="9"/>
    </row>
    <row r="372" ht="15.75" customHeight="1" spans="1:4">
      <c r="A372" s="9"/>
      <c r="B372" s="9"/>
      <c r="C372" s="9"/>
      <c r="D372" s="9"/>
    </row>
    <row r="373" ht="15.75" customHeight="1" spans="1:4">
      <c r="A373" s="9"/>
      <c r="B373" s="9"/>
      <c r="C373" s="9"/>
      <c r="D373" s="9"/>
    </row>
    <row r="374" ht="15.75" customHeight="1" spans="1:4">
      <c r="A374" s="9"/>
      <c r="B374" s="9"/>
      <c r="C374" s="9"/>
      <c r="D374" s="9"/>
    </row>
    <row r="375" ht="15.75" customHeight="1" spans="1:4">
      <c r="A375" s="9"/>
      <c r="B375" s="9"/>
      <c r="C375" s="9"/>
      <c r="D375" s="9"/>
    </row>
    <row r="376" ht="15.75" customHeight="1" spans="1:4">
      <c r="A376" s="9"/>
      <c r="B376" s="9"/>
      <c r="C376" s="9"/>
      <c r="D376" s="9"/>
    </row>
    <row r="377" ht="15.75" customHeight="1" spans="1:4">
      <c r="A377" s="9"/>
      <c r="B377" s="9"/>
      <c r="C377" s="9"/>
      <c r="D377" s="9"/>
    </row>
    <row r="378" ht="15.75" customHeight="1" spans="1:4">
      <c r="A378" s="9"/>
      <c r="B378" s="9"/>
      <c r="C378" s="9"/>
      <c r="D378" s="9"/>
    </row>
    <row r="379" ht="15.75" customHeight="1" spans="1:4">
      <c r="A379" s="9"/>
      <c r="B379" s="9"/>
      <c r="C379" s="9"/>
      <c r="D379" s="9"/>
    </row>
    <row r="380" ht="15.75" customHeight="1" spans="1:4">
      <c r="A380" s="9"/>
      <c r="B380" s="9"/>
      <c r="C380" s="9"/>
      <c r="D380" s="9"/>
    </row>
    <row r="381" ht="15.75" customHeight="1" spans="1:4">
      <c r="A381" s="9"/>
      <c r="B381" s="9"/>
      <c r="C381" s="9"/>
      <c r="D381" s="9"/>
    </row>
    <row r="382" ht="15.75" customHeight="1" spans="1:4">
      <c r="A382" s="9"/>
      <c r="B382" s="9"/>
      <c r="C382" s="9"/>
      <c r="D382" s="9"/>
    </row>
    <row r="383" ht="15.75" customHeight="1" spans="1:4">
      <c r="A383" s="9"/>
      <c r="B383" s="9"/>
      <c r="C383" s="9"/>
      <c r="D383" s="9"/>
    </row>
    <row r="384" ht="15.75" customHeight="1" spans="1:4">
      <c r="A384" s="9"/>
      <c r="B384" s="9"/>
      <c r="C384" s="9"/>
      <c r="D384" s="9"/>
    </row>
    <row r="385" ht="15.75" customHeight="1" spans="1:4">
      <c r="A385" s="9"/>
      <c r="B385" s="9"/>
      <c r="C385" s="9"/>
      <c r="D385" s="9"/>
    </row>
    <row r="386" ht="15.75" customHeight="1" spans="1:4">
      <c r="A386" s="9"/>
      <c r="B386" s="9"/>
      <c r="C386" s="9"/>
      <c r="D386" s="9"/>
    </row>
    <row r="387" ht="15.75" customHeight="1" spans="1:4">
      <c r="A387" s="9"/>
      <c r="B387" s="9"/>
      <c r="C387" s="9"/>
      <c r="D387" s="9"/>
    </row>
    <row r="388" ht="15.75" customHeight="1" spans="1:4">
      <c r="A388" s="9"/>
      <c r="B388" s="9"/>
      <c r="C388" s="9"/>
      <c r="D388" s="9"/>
    </row>
    <row r="389" ht="15.75" customHeight="1" spans="1:4">
      <c r="A389" s="9"/>
      <c r="B389" s="9"/>
      <c r="C389" s="9"/>
      <c r="D389" s="9"/>
    </row>
    <row r="390" ht="15.75" customHeight="1" spans="1:4">
      <c r="A390" s="9"/>
      <c r="B390" s="9"/>
      <c r="C390" s="9"/>
      <c r="D390" s="9"/>
    </row>
    <row r="391" ht="15.75" customHeight="1" spans="1:4">
      <c r="A391" s="9"/>
      <c r="B391" s="9"/>
      <c r="C391" s="9"/>
      <c r="D391" s="9"/>
    </row>
    <row r="392" ht="15.75" customHeight="1" spans="1:4">
      <c r="A392" s="9"/>
      <c r="B392" s="9"/>
      <c r="C392" s="9"/>
      <c r="D392" s="9"/>
    </row>
    <row r="393" ht="15.75" customHeight="1" spans="1:4">
      <c r="A393" s="9"/>
      <c r="B393" s="9"/>
      <c r="C393" s="9"/>
      <c r="D393" s="9"/>
    </row>
    <row r="394" ht="15.75" customHeight="1" spans="1:4">
      <c r="A394" s="9"/>
      <c r="B394" s="9"/>
      <c r="C394" s="9"/>
      <c r="D394" s="9"/>
    </row>
    <row r="395" ht="15.75" customHeight="1" spans="1:4">
      <c r="A395" s="9"/>
      <c r="B395" s="9"/>
      <c r="C395" s="9"/>
      <c r="D395" s="9"/>
    </row>
    <row r="396" ht="15.75" customHeight="1" spans="1:4">
      <c r="A396" s="9"/>
      <c r="B396" s="9"/>
      <c r="C396" s="9"/>
      <c r="D396" s="9"/>
    </row>
    <row r="397" ht="15.75" customHeight="1" spans="1:4">
      <c r="A397" s="9"/>
      <c r="B397" s="9"/>
      <c r="C397" s="9"/>
      <c r="D397" s="9"/>
    </row>
    <row r="398" ht="15.75" customHeight="1" spans="1:4">
      <c r="A398" s="9"/>
      <c r="B398" s="9"/>
      <c r="C398" s="9"/>
      <c r="D398" s="9"/>
    </row>
    <row r="399" ht="15.75" customHeight="1" spans="1:4">
      <c r="A399" s="9"/>
      <c r="B399" s="9"/>
      <c r="C399" s="9"/>
      <c r="D399" s="9"/>
    </row>
    <row r="400" ht="15.75" customHeight="1" spans="1:4">
      <c r="A400" s="9"/>
      <c r="B400" s="9"/>
      <c r="C400" s="9"/>
      <c r="D400" s="9"/>
    </row>
    <row r="401" ht="15.75" customHeight="1" spans="1:4">
      <c r="A401" s="9"/>
      <c r="B401" s="9"/>
      <c r="C401" s="9"/>
      <c r="D401" s="9"/>
    </row>
    <row r="402" ht="15.75" customHeight="1" spans="1:4">
      <c r="A402" s="9"/>
      <c r="B402" s="9"/>
      <c r="C402" s="9"/>
      <c r="D402" s="9"/>
    </row>
    <row r="403" ht="15.75" customHeight="1" spans="1:4">
      <c r="A403" s="9"/>
      <c r="B403" s="9"/>
      <c r="C403" s="9"/>
      <c r="D403" s="9"/>
    </row>
    <row r="404" ht="15.75" customHeight="1" spans="1:4">
      <c r="A404" s="9"/>
      <c r="B404" s="9"/>
      <c r="C404" s="9"/>
      <c r="D404" s="9"/>
    </row>
    <row r="405" ht="15.75" customHeight="1" spans="1:4">
      <c r="A405" s="9"/>
      <c r="B405" s="9"/>
      <c r="C405" s="9"/>
      <c r="D405" s="9"/>
    </row>
    <row r="406" ht="15.75" customHeight="1" spans="1:4">
      <c r="A406" s="9"/>
      <c r="B406" s="9"/>
      <c r="C406" s="9"/>
      <c r="D406" s="9"/>
    </row>
    <row r="407" ht="15.75" customHeight="1" spans="1:4">
      <c r="A407" s="9"/>
      <c r="B407" s="9"/>
      <c r="C407" s="9"/>
      <c r="D407" s="9"/>
    </row>
    <row r="408" ht="15.75" customHeight="1" spans="1:4">
      <c r="A408" s="9"/>
      <c r="B408" s="9"/>
      <c r="C408" s="9"/>
      <c r="D408" s="9"/>
    </row>
    <row r="409" ht="15.75" customHeight="1" spans="1:4">
      <c r="A409" s="9"/>
      <c r="B409" s="9"/>
      <c r="C409" s="9"/>
      <c r="D409" s="9"/>
    </row>
    <row r="410" ht="15.75" customHeight="1" spans="1:4">
      <c r="A410" s="9"/>
      <c r="B410" s="9"/>
      <c r="C410" s="9"/>
      <c r="D410" s="9"/>
    </row>
    <row r="411" ht="15.75" customHeight="1" spans="1:4">
      <c r="A411" s="9"/>
      <c r="B411" s="9"/>
      <c r="C411" s="9"/>
      <c r="D411" s="9"/>
    </row>
    <row r="412" ht="15.75" customHeight="1" spans="1:4">
      <c r="A412" s="9"/>
      <c r="B412" s="9"/>
      <c r="C412" s="9"/>
      <c r="D412" s="9"/>
    </row>
    <row r="413" ht="15.75" customHeight="1" spans="1:4">
      <c r="A413" s="9"/>
      <c r="B413" s="9"/>
      <c r="C413" s="9"/>
      <c r="D413" s="9"/>
    </row>
    <row r="414" ht="15.75" customHeight="1" spans="1:4">
      <c r="A414" s="9"/>
      <c r="B414" s="9"/>
      <c r="C414" s="9"/>
      <c r="D414" s="9"/>
    </row>
    <row r="415" ht="15.75" customHeight="1" spans="1:4">
      <c r="A415" s="9"/>
      <c r="B415" s="9"/>
      <c r="C415" s="9"/>
      <c r="D415" s="9"/>
    </row>
    <row r="416" ht="15.75" customHeight="1" spans="1:4">
      <c r="A416" s="9"/>
      <c r="B416" s="9"/>
      <c r="C416" s="9"/>
      <c r="D416" s="9"/>
    </row>
    <row r="417" ht="15.75" customHeight="1" spans="1:4">
      <c r="A417" s="9"/>
      <c r="B417" s="9"/>
      <c r="C417" s="9"/>
      <c r="D417" s="9"/>
    </row>
    <row r="418" ht="15.75" customHeight="1" spans="1:4">
      <c r="A418" s="9"/>
      <c r="B418" s="9"/>
      <c r="C418" s="9"/>
      <c r="D418" s="9"/>
    </row>
    <row r="419" ht="15.75" customHeight="1" spans="1:4">
      <c r="A419" s="9"/>
      <c r="B419" s="9"/>
      <c r="C419" s="9"/>
      <c r="D419" s="9"/>
    </row>
    <row r="420" ht="15.75" customHeight="1" spans="1:4">
      <c r="A420" s="9"/>
      <c r="B420" s="9"/>
      <c r="C420" s="9"/>
      <c r="D420" s="9"/>
    </row>
    <row r="421" ht="15.75" customHeight="1" spans="1:4">
      <c r="A421" s="9"/>
      <c r="B421" s="9"/>
      <c r="C421" s="9"/>
      <c r="D421" s="9"/>
    </row>
    <row r="422" ht="15.75" customHeight="1" spans="1:4">
      <c r="A422" s="9"/>
      <c r="B422" s="9"/>
      <c r="C422" s="9"/>
      <c r="D422" s="9"/>
    </row>
    <row r="423" ht="15.75" customHeight="1" spans="1:4">
      <c r="A423" s="9"/>
      <c r="B423" s="9"/>
      <c r="C423" s="9"/>
      <c r="D423" s="9"/>
    </row>
    <row r="424" ht="15.75" customHeight="1" spans="1:4">
      <c r="A424" s="9"/>
      <c r="B424" s="9"/>
      <c r="C424" s="9"/>
      <c r="D424" s="9"/>
    </row>
    <row r="425" ht="15.75" customHeight="1" spans="1:4">
      <c r="A425" s="9"/>
      <c r="B425" s="9"/>
      <c r="C425" s="9"/>
      <c r="D425" s="9"/>
    </row>
    <row r="426" ht="15.75" customHeight="1" spans="1:4">
      <c r="A426" s="9"/>
      <c r="B426" s="9"/>
      <c r="C426" s="9"/>
      <c r="D426" s="9"/>
    </row>
    <row r="427" ht="15.75" customHeight="1" spans="1:4">
      <c r="A427" s="9"/>
      <c r="B427" s="9"/>
      <c r="C427" s="9"/>
      <c r="D427" s="9"/>
    </row>
    <row r="428" ht="15.75" customHeight="1" spans="1:4">
      <c r="A428" s="9"/>
      <c r="B428" s="9"/>
      <c r="C428" s="9"/>
      <c r="D428" s="9"/>
    </row>
    <row r="429" ht="15.75" customHeight="1" spans="1:4">
      <c r="A429" s="9"/>
      <c r="B429" s="9"/>
      <c r="C429" s="9"/>
      <c r="D429" s="9"/>
    </row>
    <row r="430" ht="15.75" customHeight="1" spans="1:4">
      <c r="A430" s="9"/>
      <c r="B430" s="9"/>
      <c r="C430" s="9"/>
      <c r="D430" s="9"/>
    </row>
    <row r="431" ht="15.75" customHeight="1" spans="1:4">
      <c r="A431" s="9"/>
      <c r="B431" s="9"/>
      <c r="C431" s="9"/>
      <c r="D431" s="9"/>
    </row>
    <row r="432" ht="15.75" customHeight="1" spans="1:4">
      <c r="A432" s="9"/>
      <c r="B432" s="9"/>
      <c r="C432" s="9"/>
      <c r="D432" s="9"/>
    </row>
    <row r="433" ht="15.75" customHeight="1" spans="1:4">
      <c r="A433" s="9"/>
      <c r="B433" s="9"/>
      <c r="C433" s="9"/>
      <c r="D433" s="9"/>
    </row>
    <row r="434" ht="15.75" customHeight="1" spans="1:4">
      <c r="A434" s="9"/>
      <c r="B434" s="9"/>
      <c r="C434" s="9"/>
      <c r="D434" s="9"/>
    </row>
    <row r="435" ht="15.75" customHeight="1" spans="1:4">
      <c r="A435" s="9"/>
      <c r="B435" s="9"/>
      <c r="C435" s="9"/>
      <c r="D435" s="9"/>
    </row>
    <row r="436" ht="15.75" customHeight="1" spans="1:4">
      <c r="A436" s="9"/>
      <c r="B436" s="9"/>
      <c r="C436" s="9"/>
      <c r="D436" s="9"/>
    </row>
    <row r="437" ht="15.75" customHeight="1" spans="1:4">
      <c r="A437" s="9"/>
      <c r="B437" s="9"/>
      <c r="C437" s="9"/>
      <c r="D437" s="9"/>
    </row>
    <row r="438" ht="15.75" customHeight="1" spans="1:4">
      <c r="A438" s="9"/>
      <c r="B438" s="9"/>
      <c r="C438" s="9"/>
      <c r="D438" s="9"/>
    </row>
    <row r="439" ht="15.75" customHeight="1" spans="1:4">
      <c r="A439" s="9"/>
      <c r="B439" s="9"/>
      <c r="C439" s="9"/>
      <c r="D439" s="9"/>
    </row>
    <row r="440" ht="15.75" customHeight="1" spans="1:4">
      <c r="A440" s="9"/>
      <c r="B440" s="9"/>
      <c r="C440" s="9"/>
      <c r="D440" s="9"/>
    </row>
    <row r="441" ht="15.75" customHeight="1" spans="1:4">
      <c r="A441" s="9"/>
      <c r="B441" s="9"/>
      <c r="C441" s="9"/>
      <c r="D441" s="9"/>
    </row>
    <row r="442" ht="15.75" customHeight="1" spans="1:4">
      <c r="A442" s="9"/>
      <c r="B442" s="9"/>
      <c r="C442" s="9"/>
      <c r="D442" s="9"/>
    </row>
    <row r="443" ht="15.75" customHeight="1" spans="1:4">
      <c r="A443" s="9"/>
      <c r="B443" s="9"/>
      <c r="C443" s="9"/>
      <c r="D443" s="9"/>
    </row>
    <row r="444" ht="15.75" customHeight="1" spans="1:4">
      <c r="A444" s="9"/>
      <c r="B444" s="9"/>
      <c r="C444" s="9"/>
      <c r="D444" s="9"/>
    </row>
    <row r="445" ht="15.75" customHeight="1" spans="1:4">
      <c r="A445" s="9"/>
      <c r="B445" s="9"/>
      <c r="C445" s="9"/>
      <c r="D445" s="9"/>
    </row>
    <row r="446" ht="15.75" customHeight="1" spans="1:4">
      <c r="A446" s="9"/>
      <c r="B446" s="9"/>
      <c r="C446" s="9"/>
      <c r="D446" s="9"/>
    </row>
    <row r="447" ht="15.75" customHeight="1" spans="1:4">
      <c r="A447" s="9"/>
      <c r="B447" s="9"/>
      <c r="C447" s="9"/>
      <c r="D447" s="9"/>
    </row>
    <row r="448" ht="15.75" customHeight="1" spans="1:4">
      <c r="A448" s="9"/>
      <c r="B448" s="9"/>
      <c r="C448" s="9"/>
      <c r="D448" s="9"/>
    </row>
    <row r="449" ht="15.75" customHeight="1" spans="1:4">
      <c r="A449" s="9"/>
      <c r="B449" s="9"/>
      <c r="C449" s="9"/>
      <c r="D449" s="9"/>
    </row>
    <row r="450" ht="15.75" customHeight="1" spans="1:4">
      <c r="A450" s="9"/>
      <c r="B450" s="9"/>
      <c r="C450" s="9"/>
      <c r="D450" s="9"/>
    </row>
    <row r="451" ht="15.75" customHeight="1" spans="1:4">
      <c r="A451" s="9"/>
      <c r="B451" s="9"/>
      <c r="C451" s="9"/>
      <c r="D451" s="9"/>
    </row>
    <row r="452" ht="15.75" customHeight="1" spans="1:4">
      <c r="A452" s="9"/>
      <c r="B452" s="9"/>
      <c r="C452" s="9"/>
      <c r="D452" s="9"/>
    </row>
    <row r="453" ht="15.75" customHeight="1" spans="1:4">
      <c r="A453" s="9"/>
      <c r="B453" s="9"/>
      <c r="C453" s="9"/>
      <c r="D453" s="9"/>
    </row>
    <row r="454" ht="15.75" customHeight="1" spans="1:4">
      <c r="A454" s="9"/>
      <c r="B454" s="9"/>
      <c r="C454" s="9"/>
      <c r="D454" s="9"/>
    </row>
    <row r="455" ht="15.75" customHeight="1" spans="1:4">
      <c r="A455" s="9"/>
      <c r="B455" s="9"/>
      <c r="C455" s="9"/>
      <c r="D455" s="9"/>
    </row>
    <row r="456" ht="15.75" customHeight="1" spans="1:4">
      <c r="A456" s="9"/>
      <c r="B456" s="9"/>
      <c r="C456" s="9"/>
      <c r="D456" s="9"/>
    </row>
    <row r="457" ht="15.75" customHeight="1" spans="1:4">
      <c r="A457" s="9"/>
      <c r="B457" s="9"/>
      <c r="C457" s="9"/>
      <c r="D457" s="9"/>
    </row>
    <row r="458" ht="15.75" customHeight="1" spans="1:4">
      <c r="A458" s="9"/>
      <c r="B458" s="9"/>
      <c r="C458" s="9"/>
      <c r="D458" s="9"/>
    </row>
    <row r="459" ht="15.75" customHeight="1" spans="1:4">
      <c r="A459" s="9"/>
      <c r="B459" s="9"/>
      <c r="C459" s="9"/>
      <c r="D459" s="9"/>
    </row>
    <row r="460" ht="15.75" customHeight="1" spans="1:4">
      <c r="A460" s="9"/>
      <c r="B460" s="9"/>
      <c r="C460" s="9"/>
      <c r="D460" s="9"/>
    </row>
    <row r="461" ht="15.75" customHeight="1" spans="1:4">
      <c r="A461" s="9"/>
      <c r="B461" s="9"/>
      <c r="C461" s="9"/>
      <c r="D461" s="9"/>
    </row>
    <row r="462" ht="15.75" customHeight="1" spans="1:4">
      <c r="A462" s="9"/>
      <c r="B462" s="9"/>
      <c r="C462" s="9"/>
      <c r="D462" s="9"/>
    </row>
    <row r="463" ht="15.75" customHeight="1" spans="1:4">
      <c r="A463" s="9"/>
      <c r="B463" s="9"/>
      <c r="C463" s="9"/>
      <c r="D463" s="9"/>
    </row>
    <row r="464" ht="15.75" customHeight="1" spans="1:4">
      <c r="A464" s="9"/>
      <c r="B464" s="9"/>
      <c r="C464" s="9"/>
      <c r="D464" s="9"/>
    </row>
    <row r="465" ht="15.75" customHeight="1" spans="1:4">
      <c r="A465" s="9"/>
      <c r="B465" s="9"/>
      <c r="C465" s="9"/>
      <c r="D465" s="9"/>
    </row>
    <row r="466" ht="15.75" customHeight="1" spans="1:4">
      <c r="A466" s="9"/>
      <c r="B466" s="9"/>
      <c r="C466" s="9"/>
      <c r="D466" s="9"/>
    </row>
    <row r="467" ht="15.75" customHeight="1" spans="1:4">
      <c r="A467" s="9"/>
      <c r="B467" s="9"/>
      <c r="C467" s="9"/>
      <c r="D467" s="9"/>
    </row>
    <row r="468" ht="15.75" customHeight="1" spans="1:4">
      <c r="A468" s="9"/>
      <c r="B468" s="9"/>
      <c r="C468" s="9"/>
      <c r="D468" s="9"/>
    </row>
    <row r="469" ht="15.75" customHeight="1" spans="1:4">
      <c r="A469" s="9"/>
      <c r="B469" s="9"/>
      <c r="C469" s="9"/>
      <c r="D469" s="9"/>
    </row>
    <row r="470" ht="15.75" customHeight="1" spans="1:4">
      <c r="A470" s="9"/>
      <c r="B470" s="9"/>
      <c r="C470" s="9"/>
      <c r="D470" s="9"/>
    </row>
    <row r="471" ht="15.75" customHeight="1" spans="1:4">
      <c r="A471" s="9"/>
      <c r="B471" s="9"/>
      <c r="C471" s="9"/>
      <c r="D471" s="9"/>
    </row>
    <row r="472" ht="15.75" customHeight="1" spans="1:4">
      <c r="A472" s="9"/>
      <c r="B472" s="9"/>
      <c r="C472" s="9"/>
      <c r="D472" s="9"/>
    </row>
    <row r="473" ht="15.75" customHeight="1" spans="1:4">
      <c r="A473" s="9"/>
      <c r="B473" s="9"/>
      <c r="C473" s="9"/>
      <c r="D473" s="9"/>
    </row>
    <row r="474" ht="15.75" customHeight="1" spans="1:4">
      <c r="A474" s="9"/>
      <c r="B474" s="9"/>
      <c r="C474" s="9"/>
      <c r="D474" s="9"/>
    </row>
    <row r="475" ht="15.75" customHeight="1" spans="1:4">
      <c r="A475" s="9"/>
      <c r="B475" s="9"/>
      <c r="C475" s="9"/>
      <c r="D475" s="9"/>
    </row>
    <row r="476" ht="15.75" customHeight="1" spans="1:4">
      <c r="A476" s="9"/>
      <c r="B476" s="9"/>
      <c r="C476" s="9"/>
      <c r="D476" s="9"/>
    </row>
    <row r="477" ht="15.75" customHeight="1" spans="1:4">
      <c r="A477" s="9"/>
      <c r="B477" s="9"/>
      <c r="C477" s="9"/>
      <c r="D477" s="9"/>
    </row>
    <row r="478" ht="15.75" customHeight="1" spans="1:4">
      <c r="A478" s="9"/>
      <c r="B478" s="9"/>
      <c r="C478" s="9"/>
      <c r="D478" s="9"/>
    </row>
    <row r="479" ht="15.75" customHeight="1" spans="1:4">
      <c r="A479" s="9"/>
      <c r="B479" s="9"/>
      <c r="C479" s="9"/>
      <c r="D479" s="9"/>
    </row>
    <row r="480" ht="15.75" customHeight="1" spans="1:4">
      <c r="A480" s="9"/>
      <c r="B480" s="9"/>
      <c r="C480" s="9"/>
      <c r="D480" s="9"/>
    </row>
    <row r="481" ht="15.75" customHeight="1" spans="1:4">
      <c r="A481" s="9"/>
      <c r="B481" s="9"/>
      <c r="C481" s="9"/>
      <c r="D481" s="9"/>
    </row>
    <row r="482" ht="15.75" customHeight="1" spans="1:4">
      <c r="A482" s="9"/>
      <c r="B482" s="9"/>
      <c r="C482" s="9"/>
      <c r="D482" s="9"/>
    </row>
    <row r="483" ht="15.75" customHeight="1" spans="1:4">
      <c r="A483" s="9"/>
      <c r="B483" s="9"/>
      <c r="C483" s="9"/>
      <c r="D483" s="9"/>
    </row>
    <row r="484" ht="15.75" customHeight="1" spans="1:4">
      <c r="A484" s="9"/>
      <c r="B484" s="9"/>
      <c r="C484" s="9"/>
      <c r="D484" s="9"/>
    </row>
    <row r="485" ht="15.75" customHeight="1" spans="1:4">
      <c r="A485" s="9"/>
      <c r="B485" s="9"/>
      <c r="C485" s="9"/>
      <c r="D485" s="9"/>
    </row>
    <row r="486" ht="15.75" customHeight="1" spans="1:4">
      <c r="A486" s="9"/>
      <c r="B486" s="9"/>
      <c r="C486" s="9"/>
      <c r="D486" s="9"/>
    </row>
    <row r="487" ht="15.75" customHeight="1" spans="1:4">
      <c r="A487" s="9"/>
      <c r="B487" s="9"/>
      <c r="C487" s="9"/>
      <c r="D487" s="9"/>
    </row>
    <row r="488" ht="15.75" customHeight="1" spans="1:4">
      <c r="A488" s="9"/>
      <c r="B488" s="9"/>
      <c r="C488" s="9"/>
      <c r="D488" s="9"/>
    </row>
    <row r="489" ht="15.75" customHeight="1" spans="1:4">
      <c r="A489" s="9"/>
      <c r="B489" s="9"/>
      <c r="C489" s="9"/>
      <c r="D489" s="9"/>
    </row>
    <row r="490" ht="15.75" customHeight="1" spans="1:4">
      <c r="A490" s="9"/>
      <c r="B490" s="9"/>
      <c r="C490" s="9"/>
      <c r="D490" s="9"/>
    </row>
    <row r="491" ht="15.75" customHeight="1" spans="1:4">
      <c r="A491" s="9"/>
      <c r="B491" s="9"/>
      <c r="C491" s="9"/>
      <c r="D491" s="9"/>
    </row>
    <row r="492" ht="15.75" customHeight="1" spans="1:4">
      <c r="A492" s="9"/>
      <c r="B492" s="9"/>
      <c r="C492" s="9"/>
      <c r="D492" s="9"/>
    </row>
    <row r="493" ht="15.75" customHeight="1" spans="1:4">
      <c r="A493" s="9"/>
      <c r="B493" s="9"/>
      <c r="C493" s="9"/>
      <c r="D493" s="9"/>
    </row>
    <row r="494" ht="15.75" customHeight="1" spans="1:4">
      <c r="A494" s="9"/>
      <c r="B494" s="9"/>
      <c r="C494" s="9"/>
      <c r="D494" s="9"/>
    </row>
    <row r="495" ht="15.75" customHeight="1" spans="1:4">
      <c r="A495" s="9"/>
      <c r="B495" s="9"/>
      <c r="C495" s="9"/>
      <c r="D495" s="9"/>
    </row>
    <row r="496" ht="15.75" customHeight="1" spans="1:4">
      <c r="A496" s="9"/>
      <c r="B496" s="9"/>
      <c r="C496" s="9"/>
      <c r="D496" s="9"/>
    </row>
    <row r="497" ht="15.75" customHeight="1" spans="1:4">
      <c r="A497" s="9"/>
      <c r="B497" s="9"/>
      <c r="C497" s="9"/>
      <c r="D497" s="9"/>
    </row>
    <row r="498" ht="15.75" customHeight="1" spans="1:4">
      <c r="A498" s="9"/>
      <c r="B498" s="9"/>
      <c r="C498" s="9"/>
      <c r="D498" s="9"/>
    </row>
    <row r="499" ht="15.75" customHeight="1" spans="1:4">
      <c r="A499" s="9"/>
      <c r="B499" s="9"/>
      <c r="C499" s="9"/>
      <c r="D499" s="9"/>
    </row>
    <row r="500" ht="15.75" customHeight="1" spans="1:4">
      <c r="A500" s="9"/>
      <c r="B500" s="9"/>
      <c r="C500" s="9"/>
      <c r="D500" s="9"/>
    </row>
    <row r="501" ht="15.75" customHeight="1" spans="1:4">
      <c r="A501" s="9"/>
      <c r="B501" s="9"/>
      <c r="C501" s="9"/>
      <c r="D501" s="9"/>
    </row>
    <row r="502" ht="15.75" customHeight="1" spans="1:4">
      <c r="A502" s="9"/>
      <c r="B502" s="9"/>
      <c r="C502" s="9"/>
      <c r="D502" s="9"/>
    </row>
    <row r="503" ht="15.75" customHeight="1" spans="1:4">
      <c r="A503" s="9"/>
      <c r="B503" s="9"/>
      <c r="C503" s="9"/>
      <c r="D503" s="9"/>
    </row>
    <row r="504" ht="15.75" customHeight="1" spans="1:4">
      <c r="A504" s="9"/>
      <c r="B504" s="9"/>
      <c r="C504" s="9"/>
      <c r="D504" s="9"/>
    </row>
    <row r="505" ht="15.75" customHeight="1" spans="1:4">
      <c r="A505" s="9"/>
      <c r="B505" s="9"/>
      <c r="C505" s="9"/>
      <c r="D505" s="9"/>
    </row>
    <row r="506" ht="15.75" customHeight="1" spans="1:4">
      <c r="A506" s="9"/>
      <c r="B506" s="9"/>
      <c r="C506" s="9"/>
      <c r="D506" s="9"/>
    </row>
    <row r="507" ht="15.75" customHeight="1" spans="1:4">
      <c r="A507" s="9"/>
      <c r="B507" s="9"/>
      <c r="C507" s="9"/>
      <c r="D507" s="9"/>
    </row>
    <row r="508" ht="15.75" customHeight="1" spans="1:4">
      <c r="A508" s="9"/>
      <c r="B508" s="9"/>
      <c r="C508" s="9"/>
      <c r="D508" s="9"/>
    </row>
    <row r="509" ht="15.75" customHeight="1" spans="1:4">
      <c r="A509" s="9"/>
      <c r="B509" s="9"/>
      <c r="C509" s="9"/>
      <c r="D509" s="9"/>
    </row>
    <row r="510" ht="15.75" customHeight="1" spans="1:4">
      <c r="A510" s="9"/>
      <c r="B510" s="9"/>
      <c r="C510" s="9"/>
      <c r="D510" s="9"/>
    </row>
    <row r="511" ht="15.75" customHeight="1" spans="1:4">
      <c r="A511" s="9"/>
      <c r="B511" s="9"/>
      <c r="C511" s="9"/>
      <c r="D511" s="9"/>
    </row>
    <row r="512" ht="15.75" customHeight="1" spans="1:4">
      <c r="A512" s="9"/>
      <c r="B512" s="9"/>
      <c r="C512" s="9"/>
      <c r="D512" s="9"/>
    </row>
    <row r="513" ht="15.75" customHeight="1" spans="1:4">
      <c r="A513" s="9"/>
      <c r="B513" s="9"/>
      <c r="C513" s="9"/>
      <c r="D513" s="9"/>
    </row>
    <row r="514" ht="15.75" customHeight="1" spans="1:4">
      <c r="A514" s="9"/>
      <c r="B514" s="9"/>
      <c r="C514" s="9"/>
      <c r="D514" s="9"/>
    </row>
    <row r="515" ht="15.75" customHeight="1" spans="1:4">
      <c r="A515" s="9"/>
      <c r="B515" s="9"/>
      <c r="C515" s="9"/>
      <c r="D515" s="9"/>
    </row>
    <row r="516" ht="15.75" customHeight="1" spans="1:4">
      <c r="A516" s="9"/>
      <c r="B516" s="9"/>
      <c r="C516" s="9"/>
      <c r="D516" s="9"/>
    </row>
    <row r="517" ht="15.75" customHeight="1" spans="1:4">
      <c r="A517" s="9"/>
      <c r="B517" s="9"/>
      <c r="C517" s="9"/>
      <c r="D517" s="9"/>
    </row>
    <row r="518" ht="15.75" customHeight="1" spans="1:4">
      <c r="A518" s="9"/>
      <c r="B518" s="9"/>
      <c r="C518" s="9"/>
      <c r="D518" s="9"/>
    </row>
    <row r="519" ht="15.75" customHeight="1" spans="1:4">
      <c r="A519" s="9"/>
      <c r="B519" s="9"/>
      <c r="C519" s="9"/>
      <c r="D519" s="9"/>
    </row>
    <row r="520" ht="15.75" customHeight="1" spans="1:4">
      <c r="A520" s="9"/>
      <c r="B520" s="9"/>
      <c r="C520" s="9"/>
      <c r="D520" s="9"/>
    </row>
    <row r="521" ht="15.75" customHeight="1" spans="1:4">
      <c r="A521" s="9"/>
      <c r="B521" s="9"/>
      <c r="C521" s="9"/>
      <c r="D521" s="9"/>
    </row>
    <row r="522" ht="15.75" customHeight="1" spans="1:4">
      <c r="A522" s="9"/>
      <c r="B522" s="9"/>
      <c r="C522" s="9"/>
      <c r="D522" s="9"/>
    </row>
    <row r="523" ht="15.75" customHeight="1" spans="1:4">
      <c r="A523" s="9"/>
      <c r="B523" s="9"/>
      <c r="C523" s="9"/>
      <c r="D523" s="9"/>
    </row>
    <row r="524" ht="15.75" customHeight="1" spans="1:4">
      <c r="A524" s="9"/>
      <c r="B524" s="9"/>
      <c r="C524" s="9"/>
      <c r="D524" s="9"/>
    </row>
    <row r="525" ht="15.75" customHeight="1" spans="1:4">
      <c r="A525" s="9"/>
      <c r="B525" s="9"/>
      <c r="C525" s="9"/>
      <c r="D525" s="9"/>
    </row>
    <row r="526" ht="15.75" customHeight="1" spans="1:4">
      <c r="A526" s="9"/>
      <c r="B526" s="9"/>
      <c r="C526" s="9"/>
      <c r="D526" s="9"/>
    </row>
    <row r="527" ht="15.75" customHeight="1" spans="1:4">
      <c r="A527" s="9"/>
      <c r="B527" s="9"/>
      <c r="C527" s="9"/>
      <c r="D527" s="9"/>
    </row>
    <row r="528" ht="15.75" customHeight="1" spans="1:4">
      <c r="A528" s="9"/>
      <c r="B528" s="9"/>
      <c r="C528" s="9"/>
      <c r="D528" s="9"/>
    </row>
    <row r="529" ht="15.75" customHeight="1" spans="1:4">
      <c r="A529" s="9"/>
      <c r="B529" s="9"/>
      <c r="C529" s="9"/>
      <c r="D529" s="9"/>
    </row>
    <row r="530" ht="15.75" customHeight="1" spans="1:4">
      <c r="A530" s="9"/>
      <c r="B530" s="9"/>
      <c r="C530" s="9"/>
      <c r="D530" s="9"/>
    </row>
    <row r="531" ht="15.75" customHeight="1" spans="1:4">
      <c r="A531" s="9"/>
      <c r="B531" s="9"/>
      <c r="C531" s="9"/>
      <c r="D531" s="9"/>
    </row>
    <row r="532" ht="15.75" customHeight="1" spans="1:4">
      <c r="A532" s="9"/>
      <c r="B532" s="9"/>
      <c r="C532" s="9"/>
      <c r="D532" s="9"/>
    </row>
    <row r="533" ht="15.75" customHeight="1" spans="1:4">
      <c r="A533" s="9"/>
      <c r="B533" s="9"/>
      <c r="C533" s="9"/>
      <c r="D533" s="9"/>
    </row>
    <row r="534" ht="15.75" customHeight="1" spans="1:4">
      <c r="A534" s="9"/>
      <c r="B534" s="9"/>
      <c r="C534" s="9"/>
      <c r="D534" s="9"/>
    </row>
    <row r="535" ht="15.75" customHeight="1" spans="1:4">
      <c r="A535" s="9"/>
      <c r="B535" s="9"/>
      <c r="C535" s="9"/>
      <c r="D535" s="9"/>
    </row>
    <row r="536" ht="15.75" customHeight="1" spans="1:4">
      <c r="A536" s="9"/>
      <c r="B536" s="9"/>
      <c r="C536" s="9"/>
      <c r="D536" s="9"/>
    </row>
    <row r="537" ht="15.75" customHeight="1" spans="1:4">
      <c r="A537" s="9"/>
      <c r="B537" s="9"/>
      <c r="C537" s="9"/>
      <c r="D537" s="9"/>
    </row>
    <row r="538" ht="15.75" customHeight="1" spans="1:4">
      <c r="A538" s="9"/>
      <c r="B538" s="9"/>
      <c r="C538" s="9"/>
      <c r="D538" s="9"/>
    </row>
    <row r="539" ht="15.75" customHeight="1" spans="1:4">
      <c r="A539" s="9"/>
      <c r="B539" s="9"/>
      <c r="C539" s="9"/>
      <c r="D539" s="9"/>
    </row>
    <row r="540" ht="15.75" customHeight="1" spans="1:4">
      <c r="A540" s="9"/>
      <c r="B540" s="9"/>
      <c r="C540" s="9"/>
      <c r="D540" s="9"/>
    </row>
    <row r="541" ht="15.75" customHeight="1" spans="1:4">
      <c r="A541" s="9"/>
      <c r="B541" s="9"/>
      <c r="C541" s="9"/>
      <c r="D541" s="9"/>
    </row>
    <row r="542" ht="15.75" customHeight="1" spans="1:4">
      <c r="A542" s="9"/>
      <c r="B542" s="9"/>
      <c r="C542" s="9"/>
      <c r="D542" s="9"/>
    </row>
    <row r="543" ht="15.75" customHeight="1" spans="1:4">
      <c r="A543" s="9"/>
      <c r="B543" s="9"/>
      <c r="C543" s="9"/>
      <c r="D543" s="9"/>
    </row>
    <row r="544" ht="15.75" customHeight="1" spans="1:4">
      <c r="A544" s="9"/>
      <c r="B544" s="9"/>
      <c r="C544" s="9"/>
      <c r="D544" s="9"/>
    </row>
    <row r="545" ht="15.75" customHeight="1" spans="1:4">
      <c r="A545" s="9"/>
      <c r="B545" s="9"/>
      <c r="C545" s="9"/>
      <c r="D545" s="9"/>
    </row>
    <row r="546" ht="15.75" customHeight="1" spans="1:4">
      <c r="A546" s="9"/>
      <c r="B546" s="9"/>
      <c r="C546" s="9"/>
      <c r="D546" s="9"/>
    </row>
    <row r="547" ht="15.75" customHeight="1" spans="1:4">
      <c r="A547" s="9"/>
      <c r="B547" s="9"/>
      <c r="C547" s="9"/>
      <c r="D547" s="9"/>
    </row>
    <row r="548" ht="15.75" customHeight="1" spans="1:4">
      <c r="A548" s="9"/>
      <c r="B548" s="9"/>
      <c r="C548" s="9"/>
      <c r="D548" s="9"/>
    </row>
    <row r="549" ht="15.75" customHeight="1" spans="1:4">
      <c r="A549" s="9"/>
      <c r="B549" s="9"/>
      <c r="C549" s="9"/>
      <c r="D549" s="9"/>
    </row>
    <row r="550" ht="15.75" customHeight="1" spans="1:4">
      <c r="A550" s="9"/>
      <c r="B550" s="9"/>
      <c r="C550" s="9"/>
      <c r="D550" s="9"/>
    </row>
    <row r="551" ht="15.75" customHeight="1" spans="1:4">
      <c r="A551" s="9"/>
      <c r="B551" s="9"/>
      <c r="C551" s="9"/>
      <c r="D551" s="9"/>
    </row>
    <row r="552" ht="15.75" customHeight="1" spans="1:4">
      <c r="A552" s="9"/>
      <c r="B552" s="9"/>
      <c r="C552" s="9"/>
      <c r="D552" s="9"/>
    </row>
    <row r="553" ht="15.75" customHeight="1" spans="1:4">
      <c r="A553" s="9"/>
      <c r="B553" s="9"/>
      <c r="C553" s="9"/>
      <c r="D553" s="9"/>
    </row>
    <row r="554" ht="15.75" customHeight="1" spans="1:4">
      <c r="A554" s="9"/>
      <c r="B554" s="9"/>
      <c r="C554" s="9"/>
      <c r="D554" s="9"/>
    </row>
    <row r="555" ht="15.75" customHeight="1" spans="1:4">
      <c r="A555" s="9"/>
      <c r="B555" s="9"/>
      <c r="C555" s="9"/>
      <c r="D555" s="9"/>
    </row>
    <row r="556" ht="15.75" customHeight="1" spans="1:4">
      <c r="A556" s="9"/>
      <c r="B556" s="9"/>
      <c r="C556" s="9"/>
      <c r="D556" s="9"/>
    </row>
    <row r="557" ht="15.75" customHeight="1" spans="1:4">
      <c r="A557" s="9"/>
      <c r="B557" s="9"/>
      <c r="C557" s="9"/>
      <c r="D557" s="9"/>
    </row>
    <row r="558" ht="15.75" customHeight="1" spans="1:4">
      <c r="A558" s="9"/>
      <c r="B558" s="9"/>
      <c r="C558" s="9"/>
      <c r="D558" s="9"/>
    </row>
    <row r="559" ht="15.75" customHeight="1" spans="1:4">
      <c r="A559" s="9"/>
      <c r="B559" s="9"/>
      <c r="C559" s="9"/>
      <c r="D559" s="9"/>
    </row>
    <row r="560" ht="15.75" customHeight="1" spans="1:4">
      <c r="A560" s="9"/>
      <c r="B560" s="9"/>
      <c r="C560" s="9"/>
      <c r="D560" s="9"/>
    </row>
    <row r="561" ht="15.75" customHeight="1" spans="1:4">
      <c r="A561" s="9"/>
      <c r="B561" s="9"/>
      <c r="C561" s="9"/>
      <c r="D561" s="9"/>
    </row>
    <row r="562" ht="15.75" customHeight="1" spans="1:4">
      <c r="A562" s="9"/>
      <c r="B562" s="9"/>
      <c r="C562" s="9"/>
      <c r="D562" s="9"/>
    </row>
    <row r="563" ht="15.75" customHeight="1" spans="1:4">
      <c r="A563" s="9"/>
      <c r="B563" s="9"/>
      <c r="C563" s="9"/>
      <c r="D563" s="9"/>
    </row>
    <row r="564" ht="15.75" customHeight="1" spans="1:4">
      <c r="A564" s="9"/>
      <c r="B564" s="9"/>
      <c r="C564" s="9"/>
      <c r="D564" s="9"/>
    </row>
    <row r="565" ht="15.75" customHeight="1" spans="1:4">
      <c r="A565" s="9"/>
      <c r="B565" s="9"/>
      <c r="C565" s="9"/>
      <c r="D565" s="9"/>
    </row>
    <row r="566" ht="15.75" customHeight="1" spans="1:4">
      <c r="A566" s="9"/>
      <c r="B566" s="9"/>
      <c r="C566" s="9"/>
      <c r="D566" s="9"/>
    </row>
    <row r="567" ht="15.75" customHeight="1" spans="1:4">
      <c r="A567" s="9"/>
      <c r="B567" s="9"/>
      <c r="C567" s="9"/>
      <c r="D567" s="9"/>
    </row>
    <row r="568" ht="15.75" customHeight="1" spans="1:4">
      <c r="A568" s="9"/>
      <c r="B568" s="9"/>
      <c r="C568" s="9"/>
      <c r="D568" s="9"/>
    </row>
    <row r="569" ht="15.75" customHeight="1" spans="1:4">
      <c r="A569" s="9"/>
      <c r="B569" s="9"/>
      <c r="C569" s="9"/>
      <c r="D569" s="9"/>
    </row>
    <row r="570" ht="15.75" customHeight="1" spans="1:4">
      <c r="A570" s="9"/>
      <c r="B570" s="9"/>
      <c r="C570" s="9"/>
      <c r="D570" s="9"/>
    </row>
    <row r="571" ht="15.75" customHeight="1" spans="1:4">
      <c r="A571" s="9"/>
      <c r="B571" s="9"/>
      <c r="C571" s="9"/>
      <c r="D571" s="9"/>
    </row>
    <row r="572" ht="15.75" customHeight="1" spans="1:4">
      <c r="A572" s="9"/>
      <c r="B572" s="9"/>
      <c r="C572" s="9"/>
      <c r="D572" s="9"/>
    </row>
    <row r="573" ht="15.75" customHeight="1" spans="1:4">
      <c r="A573" s="9"/>
      <c r="B573" s="9"/>
      <c r="C573" s="9"/>
      <c r="D573" s="9"/>
    </row>
    <row r="574" ht="15.75" customHeight="1" spans="1:4">
      <c r="A574" s="9"/>
      <c r="B574" s="9"/>
      <c r="C574" s="9"/>
      <c r="D574" s="9"/>
    </row>
    <row r="575" ht="15.75" customHeight="1" spans="1:4">
      <c r="A575" s="9"/>
      <c r="B575" s="9"/>
      <c r="C575" s="9"/>
      <c r="D575" s="9"/>
    </row>
    <row r="576" ht="15.75" customHeight="1" spans="1:4">
      <c r="A576" s="9"/>
      <c r="B576" s="9"/>
      <c r="C576" s="9"/>
      <c r="D576" s="9"/>
    </row>
    <row r="577" ht="15.75" customHeight="1" spans="1:4">
      <c r="A577" s="9"/>
      <c r="B577" s="9"/>
      <c r="C577" s="9"/>
      <c r="D577" s="9"/>
    </row>
    <row r="578" ht="15.75" customHeight="1" spans="1:4">
      <c r="A578" s="9"/>
      <c r="B578" s="9"/>
      <c r="C578" s="9"/>
      <c r="D578" s="9"/>
    </row>
    <row r="579" ht="15.75" customHeight="1" spans="1:4">
      <c r="A579" s="9"/>
      <c r="B579" s="9"/>
      <c r="C579" s="9"/>
      <c r="D579" s="9"/>
    </row>
    <row r="580" ht="15.75" customHeight="1" spans="1:4">
      <c r="A580" s="9"/>
      <c r="B580" s="9"/>
      <c r="C580" s="9"/>
      <c r="D580" s="9"/>
    </row>
    <row r="581" ht="15.75" customHeight="1" spans="1:4">
      <c r="A581" s="9"/>
      <c r="B581" s="9"/>
      <c r="C581" s="9"/>
      <c r="D581" s="9"/>
    </row>
    <row r="582" ht="15.75" customHeight="1" spans="1:4">
      <c r="A582" s="9"/>
      <c r="B582" s="9"/>
      <c r="C582" s="9"/>
      <c r="D582" s="9"/>
    </row>
    <row r="583" ht="15.75" customHeight="1" spans="1:4">
      <c r="A583" s="9"/>
      <c r="B583" s="9"/>
      <c r="C583" s="9"/>
      <c r="D583" s="9"/>
    </row>
    <row r="584" ht="15.75" customHeight="1" spans="1:4">
      <c r="A584" s="9"/>
      <c r="B584" s="9"/>
      <c r="C584" s="9"/>
      <c r="D584" s="9"/>
    </row>
    <row r="585" ht="15.75" customHeight="1" spans="1:4">
      <c r="A585" s="9"/>
      <c r="B585" s="9"/>
      <c r="C585" s="9"/>
      <c r="D585" s="9"/>
    </row>
    <row r="586" ht="15.75" customHeight="1" spans="1:4">
      <c r="A586" s="9"/>
      <c r="B586" s="9"/>
      <c r="C586" s="9"/>
      <c r="D586" s="9"/>
    </row>
    <row r="587" ht="15.75" customHeight="1" spans="1:4">
      <c r="A587" s="9"/>
      <c r="B587" s="9"/>
      <c r="C587" s="9"/>
      <c r="D587" s="9"/>
    </row>
    <row r="588" ht="15.75" customHeight="1" spans="1:4">
      <c r="A588" s="9"/>
      <c r="B588" s="9"/>
      <c r="C588" s="9"/>
      <c r="D588" s="9"/>
    </row>
    <row r="589" ht="15.75" customHeight="1" spans="1:4">
      <c r="A589" s="9"/>
      <c r="B589" s="9"/>
      <c r="C589" s="9"/>
      <c r="D589" s="9"/>
    </row>
    <row r="590" ht="15.75" customHeight="1" spans="1:4">
      <c r="A590" s="9"/>
      <c r="B590" s="9"/>
      <c r="C590" s="9"/>
      <c r="D590" s="9"/>
    </row>
    <row r="591" ht="15.75" customHeight="1" spans="1:4">
      <c r="A591" s="9"/>
      <c r="B591" s="9"/>
      <c r="C591" s="9"/>
      <c r="D591" s="9"/>
    </row>
    <row r="592" ht="15.75" customHeight="1" spans="1:4">
      <c r="A592" s="9"/>
      <c r="B592" s="9"/>
      <c r="C592" s="9"/>
      <c r="D592" s="9"/>
    </row>
    <row r="593" ht="15.75" customHeight="1" spans="1:4">
      <c r="A593" s="9"/>
      <c r="B593" s="9"/>
      <c r="C593" s="9"/>
      <c r="D593" s="9"/>
    </row>
    <row r="594" ht="15.75" customHeight="1" spans="1:4">
      <c r="A594" s="9"/>
      <c r="B594" s="9"/>
      <c r="C594" s="9"/>
      <c r="D594" s="9"/>
    </row>
    <row r="595" ht="15.75" customHeight="1" spans="1:4">
      <c r="A595" s="9"/>
      <c r="B595" s="9"/>
      <c r="C595" s="9"/>
      <c r="D595" s="9"/>
    </row>
    <row r="596" ht="15.75" customHeight="1" spans="1:4">
      <c r="A596" s="9"/>
      <c r="B596" s="9"/>
      <c r="C596" s="9"/>
      <c r="D596" s="9"/>
    </row>
    <row r="597" ht="15.75" customHeight="1" spans="1:4">
      <c r="A597" s="9"/>
      <c r="B597" s="9"/>
      <c r="C597" s="9"/>
      <c r="D597" s="9"/>
    </row>
    <row r="598" ht="15.75" customHeight="1" spans="1:4">
      <c r="A598" s="9"/>
      <c r="B598" s="9"/>
      <c r="C598" s="9"/>
      <c r="D598" s="9"/>
    </row>
    <row r="599" ht="15.75" customHeight="1" spans="1:4">
      <c r="A599" s="9"/>
      <c r="B599" s="9"/>
      <c r="C599" s="9"/>
      <c r="D599" s="9"/>
    </row>
    <row r="600" ht="15.75" customHeight="1" spans="1:4">
      <c r="A600" s="9"/>
      <c r="B600" s="9"/>
      <c r="C600" s="9"/>
      <c r="D600" s="9"/>
    </row>
    <row r="601" ht="15.75" customHeight="1" spans="1:4">
      <c r="A601" s="9"/>
      <c r="B601" s="9"/>
      <c r="C601" s="9"/>
      <c r="D601" s="9"/>
    </row>
    <row r="602" ht="15.75" customHeight="1" spans="1:4">
      <c r="A602" s="9"/>
      <c r="B602" s="9"/>
      <c r="C602" s="9"/>
      <c r="D602" s="9"/>
    </row>
    <row r="603" ht="15.75" customHeight="1" spans="1:4">
      <c r="A603" s="9"/>
      <c r="B603" s="9"/>
      <c r="C603" s="9"/>
      <c r="D603" s="9"/>
    </row>
    <row r="604" ht="15.75" customHeight="1" spans="1:4">
      <c r="A604" s="9"/>
      <c r="B604" s="9"/>
      <c r="C604" s="9"/>
      <c r="D604" s="9"/>
    </row>
    <row r="605" ht="15.75" customHeight="1" spans="1:4">
      <c r="A605" s="9"/>
      <c r="B605" s="9"/>
      <c r="C605" s="9"/>
      <c r="D605" s="9"/>
    </row>
    <row r="606" ht="15.75" customHeight="1" spans="1:4">
      <c r="A606" s="9"/>
      <c r="B606" s="9"/>
      <c r="C606" s="9"/>
      <c r="D606" s="9"/>
    </row>
    <row r="607" ht="15.75" customHeight="1" spans="1:4">
      <c r="A607" s="9"/>
      <c r="B607" s="9"/>
      <c r="C607" s="9"/>
      <c r="D607" s="9"/>
    </row>
    <row r="608" ht="15.75" customHeight="1" spans="1:4">
      <c r="A608" s="9"/>
      <c r="B608" s="9"/>
      <c r="C608" s="9"/>
      <c r="D608" s="9"/>
    </row>
    <row r="609" ht="15.75" customHeight="1" spans="1:4">
      <c r="A609" s="9"/>
      <c r="B609" s="9"/>
      <c r="C609" s="9"/>
      <c r="D609" s="9"/>
    </row>
    <row r="610" ht="15.75" customHeight="1" spans="1:4">
      <c r="A610" s="9"/>
      <c r="B610" s="9"/>
      <c r="C610" s="9"/>
      <c r="D610" s="9"/>
    </row>
    <row r="611" ht="15.75" customHeight="1" spans="1:4">
      <c r="A611" s="9"/>
      <c r="B611" s="9"/>
      <c r="C611" s="9"/>
      <c r="D611" s="9"/>
    </row>
    <row r="612" ht="15.75" customHeight="1" spans="1:4">
      <c r="A612" s="9"/>
      <c r="B612" s="9"/>
      <c r="C612" s="9"/>
      <c r="D612" s="9"/>
    </row>
    <row r="613" ht="15.75" customHeight="1" spans="1:4">
      <c r="A613" s="9"/>
      <c r="B613" s="9"/>
      <c r="C613" s="9"/>
      <c r="D613" s="9"/>
    </row>
    <row r="614" ht="15.75" customHeight="1" spans="1:4">
      <c r="A614" s="9"/>
      <c r="B614" s="9"/>
      <c r="C614" s="9"/>
      <c r="D614" s="9"/>
    </row>
    <row r="615" ht="15.75" customHeight="1" spans="1:4">
      <c r="A615" s="9"/>
      <c r="B615" s="9"/>
      <c r="C615" s="9"/>
      <c r="D615" s="9"/>
    </row>
    <row r="616" ht="15.75" customHeight="1" spans="1:4">
      <c r="A616" s="9"/>
      <c r="B616" s="9"/>
      <c r="C616" s="9"/>
      <c r="D616" s="9"/>
    </row>
    <row r="617" ht="15.75" customHeight="1" spans="1:4">
      <c r="A617" s="9"/>
      <c r="B617" s="9"/>
      <c r="C617" s="9"/>
      <c r="D617" s="9"/>
    </row>
    <row r="618" ht="15.75" customHeight="1" spans="1:4">
      <c r="A618" s="9"/>
      <c r="B618" s="9"/>
      <c r="C618" s="9"/>
      <c r="D618" s="9"/>
    </row>
    <row r="619" ht="15.75" customHeight="1" spans="1:4">
      <c r="A619" s="9"/>
      <c r="B619" s="9"/>
      <c r="C619" s="9"/>
      <c r="D619" s="9"/>
    </row>
    <row r="620" ht="15.75" customHeight="1" spans="1:4">
      <c r="A620" s="9"/>
      <c r="B620" s="9"/>
      <c r="C620" s="9"/>
      <c r="D620" s="9"/>
    </row>
    <row r="621" ht="15.75" customHeight="1" spans="1:4">
      <c r="A621" s="9"/>
      <c r="B621" s="9"/>
      <c r="C621" s="9"/>
      <c r="D621" s="9"/>
    </row>
    <row r="622" ht="15.75" customHeight="1" spans="1:4">
      <c r="A622" s="9"/>
      <c r="B622" s="9"/>
      <c r="C622" s="9"/>
      <c r="D622" s="9"/>
    </row>
    <row r="623" ht="15.75" customHeight="1" spans="1:4">
      <c r="A623" s="9"/>
      <c r="B623" s="9"/>
      <c r="C623" s="9"/>
      <c r="D623" s="9"/>
    </row>
    <row r="624" ht="15.75" customHeight="1" spans="1:4">
      <c r="A624" s="9"/>
      <c r="B624" s="9"/>
      <c r="C624" s="9"/>
      <c r="D624" s="9"/>
    </row>
    <row r="625" ht="15.75" customHeight="1" spans="1:4">
      <c r="A625" s="9"/>
      <c r="B625" s="9"/>
      <c r="C625" s="9"/>
      <c r="D625" s="9"/>
    </row>
    <row r="626" ht="15.75" customHeight="1" spans="1:4">
      <c r="A626" s="9"/>
      <c r="B626" s="9"/>
      <c r="C626" s="9"/>
      <c r="D626" s="9"/>
    </row>
    <row r="627" ht="15.75" customHeight="1" spans="1:4">
      <c r="A627" s="9"/>
      <c r="B627" s="9"/>
      <c r="C627" s="9"/>
      <c r="D627" s="9"/>
    </row>
    <row r="628" ht="15.75" customHeight="1" spans="1:4">
      <c r="A628" s="9"/>
      <c r="B628" s="9"/>
      <c r="C628" s="9"/>
      <c r="D628" s="9"/>
    </row>
    <row r="629" ht="15.75" customHeight="1" spans="1:4">
      <c r="A629" s="9"/>
      <c r="B629" s="9"/>
      <c r="C629" s="9"/>
      <c r="D629" s="9"/>
    </row>
    <row r="630" ht="15.75" customHeight="1" spans="1:4">
      <c r="A630" s="9"/>
      <c r="B630" s="9"/>
      <c r="C630" s="9"/>
      <c r="D630" s="9"/>
    </row>
    <row r="631" ht="15.75" customHeight="1" spans="1:4">
      <c r="A631" s="9"/>
      <c r="B631" s="9"/>
      <c r="C631" s="9"/>
      <c r="D631" s="9"/>
    </row>
    <row r="632" ht="15.75" customHeight="1" spans="1:4">
      <c r="A632" s="9"/>
      <c r="B632" s="9"/>
      <c r="C632" s="9"/>
      <c r="D632" s="9"/>
    </row>
    <row r="633" ht="15.75" customHeight="1" spans="1:4">
      <c r="A633" s="9"/>
      <c r="B633" s="9"/>
      <c r="C633" s="9"/>
      <c r="D633" s="9"/>
    </row>
    <row r="634" ht="15.75" customHeight="1" spans="1:4">
      <c r="A634" s="9"/>
      <c r="B634" s="9"/>
      <c r="C634" s="9"/>
      <c r="D634" s="9"/>
    </row>
    <row r="635" ht="15.75" customHeight="1" spans="1:4">
      <c r="A635" s="9"/>
      <c r="B635" s="9"/>
      <c r="C635" s="9"/>
      <c r="D635" s="9"/>
    </row>
    <row r="636" ht="15.75" customHeight="1" spans="1:4">
      <c r="A636" s="9"/>
      <c r="B636" s="9"/>
      <c r="C636" s="9"/>
      <c r="D636" s="9"/>
    </row>
    <row r="637" ht="15.75" customHeight="1" spans="1:4">
      <c r="A637" s="9"/>
      <c r="B637" s="9"/>
      <c r="C637" s="9"/>
      <c r="D637" s="9"/>
    </row>
    <row r="638" ht="15.75" customHeight="1" spans="1:4">
      <c r="A638" s="9"/>
      <c r="B638" s="9"/>
      <c r="C638" s="9"/>
      <c r="D638" s="9"/>
    </row>
    <row r="639" ht="15.75" customHeight="1" spans="1:4">
      <c r="A639" s="9"/>
      <c r="B639" s="9"/>
      <c r="C639" s="9"/>
      <c r="D639" s="9"/>
    </row>
    <row r="640" ht="15.75" customHeight="1" spans="1:4">
      <c r="A640" s="9"/>
      <c r="B640" s="9"/>
      <c r="C640" s="9"/>
      <c r="D640" s="9"/>
    </row>
    <row r="641" ht="15.75" customHeight="1" spans="1:4">
      <c r="A641" s="9"/>
      <c r="B641" s="9"/>
      <c r="C641" s="9"/>
      <c r="D641" s="9"/>
    </row>
    <row r="642" ht="15.75" customHeight="1" spans="1:4">
      <c r="A642" s="9"/>
      <c r="B642" s="9"/>
      <c r="C642" s="9"/>
      <c r="D642" s="9"/>
    </row>
    <row r="643" ht="15.75" customHeight="1" spans="1:4">
      <c r="A643" s="9"/>
      <c r="B643" s="9"/>
      <c r="C643" s="9"/>
      <c r="D643" s="9"/>
    </row>
    <row r="644" ht="15.75" customHeight="1" spans="1:4">
      <c r="A644" s="9"/>
      <c r="B644" s="9"/>
      <c r="C644" s="9"/>
      <c r="D644" s="9"/>
    </row>
    <row r="645" ht="15.75" customHeight="1" spans="1:4">
      <c r="A645" s="9"/>
      <c r="B645" s="9"/>
      <c r="C645" s="9"/>
      <c r="D645" s="9"/>
    </row>
    <row r="646" ht="15.75" customHeight="1" spans="1:4">
      <c r="A646" s="9"/>
      <c r="B646" s="9"/>
      <c r="C646" s="9"/>
      <c r="D646" s="9"/>
    </row>
    <row r="647" ht="15.75" customHeight="1" spans="1:4">
      <c r="A647" s="9"/>
      <c r="B647" s="9"/>
      <c r="C647" s="9"/>
      <c r="D647" s="9"/>
    </row>
    <row r="648" ht="15.75" customHeight="1" spans="1:4">
      <c r="A648" s="9"/>
      <c r="B648" s="9"/>
      <c r="C648" s="9"/>
      <c r="D648" s="9"/>
    </row>
    <row r="649" ht="15.75" customHeight="1" spans="1:4">
      <c r="A649" s="9"/>
      <c r="B649" s="9"/>
      <c r="C649" s="9"/>
      <c r="D649" s="9"/>
    </row>
    <row r="650" ht="15.75" customHeight="1" spans="1:4">
      <c r="A650" s="9"/>
      <c r="B650" s="9"/>
      <c r="C650" s="9"/>
      <c r="D650" s="9"/>
    </row>
    <row r="651" ht="15.75" customHeight="1" spans="1:4">
      <c r="A651" s="9"/>
      <c r="B651" s="9"/>
      <c r="C651" s="9"/>
      <c r="D651" s="9"/>
    </row>
    <row r="652" ht="15.75" customHeight="1" spans="1:4">
      <c r="A652" s="9"/>
      <c r="B652" s="9"/>
      <c r="C652" s="9"/>
      <c r="D652" s="9"/>
    </row>
    <row r="653" ht="15.75" customHeight="1" spans="1:4">
      <c r="A653" s="9"/>
      <c r="B653" s="9"/>
      <c r="C653" s="9"/>
      <c r="D653" s="9"/>
    </row>
    <row r="654" ht="15.75" customHeight="1" spans="1:4">
      <c r="A654" s="9"/>
      <c r="B654" s="9"/>
      <c r="C654" s="9"/>
      <c r="D654" s="9"/>
    </row>
    <row r="655" ht="15.75" customHeight="1" spans="1:4">
      <c r="A655" s="9"/>
      <c r="B655" s="9"/>
      <c r="C655" s="9"/>
      <c r="D655" s="9"/>
    </row>
    <row r="656" ht="15.75" customHeight="1" spans="1:4">
      <c r="A656" s="9"/>
      <c r="B656" s="9"/>
      <c r="C656" s="9"/>
      <c r="D656" s="9"/>
    </row>
    <row r="657" ht="15.75" customHeight="1" spans="1:4">
      <c r="A657" s="9"/>
      <c r="B657" s="9"/>
      <c r="C657" s="9"/>
      <c r="D657" s="9"/>
    </row>
    <row r="658" ht="15.75" customHeight="1" spans="1:4">
      <c r="A658" s="9"/>
      <c r="B658" s="9"/>
      <c r="C658" s="9"/>
      <c r="D658" s="9"/>
    </row>
    <row r="659" ht="15.75" customHeight="1" spans="1:4">
      <c r="A659" s="9"/>
      <c r="B659" s="9"/>
      <c r="C659" s="9"/>
      <c r="D659" s="9"/>
    </row>
    <row r="660" ht="15.75" customHeight="1" spans="1:4">
      <c r="A660" s="9"/>
      <c r="B660" s="9"/>
      <c r="C660" s="9"/>
      <c r="D660" s="9"/>
    </row>
    <row r="661" ht="15.75" customHeight="1" spans="1:4">
      <c r="A661" s="9"/>
      <c r="B661" s="9"/>
      <c r="C661" s="9"/>
      <c r="D661" s="9"/>
    </row>
    <row r="662" ht="15.75" customHeight="1" spans="1:4">
      <c r="A662" s="9"/>
      <c r="B662" s="9"/>
      <c r="C662" s="9"/>
      <c r="D662" s="9"/>
    </row>
    <row r="663" ht="15.75" customHeight="1" spans="1:4">
      <c r="A663" s="9"/>
      <c r="B663" s="9"/>
      <c r="C663" s="9"/>
      <c r="D663" s="9"/>
    </row>
    <row r="664" ht="15.75" customHeight="1" spans="1:4">
      <c r="A664" s="9"/>
      <c r="B664" s="9"/>
      <c r="C664" s="9"/>
      <c r="D664" s="9"/>
    </row>
    <row r="665" ht="15.75" customHeight="1" spans="1:4">
      <c r="A665" s="9"/>
      <c r="B665" s="9"/>
      <c r="C665" s="9"/>
      <c r="D665" s="9"/>
    </row>
    <row r="666" ht="15.75" customHeight="1" spans="1:4">
      <c r="A666" s="9"/>
      <c r="B666" s="9"/>
      <c r="C666" s="9"/>
      <c r="D666" s="9"/>
    </row>
    <row r="667" ht="15.75" customHeight="1" spans="1:4">
      <c r="A667" s="9"/>
      <c r="B667" s="9"/>
      <c r="C667" s="9"/>
      <c r="D667" s="9"/>
    </row>
    <row r="668" ht="15.75" customHeight="1" spans="1:4">
      <c r="A668" s="9"/>
      <c r="B668" s="9"/>
      <c r="C668" s="9"/>
      <c r="D668" s="9"/>
    </row>
    <row r="669" ht="15.75" customHeight="1" spans="1:4">
      <c r="A669" s="9"/>
      <c r="B669" s="9"/>
      <c r="C669" s="9"/>
      <c r="D669" s="9"/>
    </row>
    <row r="670" ht="15.75" customHeight="1" spans="1:4">
      <c r="A670" s="9"/>
      <c r="B670" s="9"/>
      <c r="C670" s="9"/>
      <c r="D670" s="9"/>
    </row>
    <row r="671" ht="15.75" customHeight="1" spans="1:4">
      <c r="A671" s="9"/>
      <c r="B671" s="9"/>
      <c r="C671" s="9"/>
      <c r="D671" s="9"/>
    </row>
    <row r="672" ht="15.75" customHeight="1" spans="1:4">
      <c r="A672" s="9"/>
      <c r="B672" s="9"/>
      <c r="C672" s="9"/>
      <c r="D672" s="9"/>
    </row>
    <row r="673" ht="15.75" customHeight="1" spans="1:4">
      <c r="A673" s="9"/>
      <c r="B673" s="9"/>
      <c r="C673" s="9"/>
      <c r="D673" s="9"/>
    </row>
    <row r="674" ht="15.75" customHeight="1" spans="1:4">
      <c r="A674" s="9"/>
      <c r="B674" s="9"/>
      <c r="C674" s="9"/>
      <c r="D674" s="9"/>
    </row>
    <row r="675" ht="15.75" customHeight="1" spans="1:4">
      <c r="A675" s="9"/>
      <c r="B675" s="9"/>
      <c r="C675" s="9"/>
      <c r="D675" s="9"/>
    </row>
    <row r="676" ht="15.75" customHeight="1" spans="1:4">
      <c r="A676" s="9"/>
      <c r="B676" s="9"/>
      <c r="C676" s="9"/>
      <c r="D676" s="9"/>
    </row>
    <row r="677" ht="15.75" customHeight="1" spans="1:4">
      <c r="A677" s="9"/>
      <c r="B677" s="9"/>
      <c r="C677" s="9"/>
      <c r="D677" s="9"/>
    </row>
    <row r="678" ht="15.75" customHeight="1" spans="1:4">
      <c r="A678" s="9"/>
      <c r="B678" s="9"/>
      <c r="C678" s="9"/>
      <c r="D678" s="9"/>
    </row>
    <row r="679" ht="15.75" customHeight="1" spans="1:4">
      <c r="A679" s="9"/>
      <c r="B679" s="9"/>
      <c r="C679" s="9"/>
      <c r="D679" s="9"/>
    </row>
    <row r="680" ht="15.75" customHeight="1" spans="1:4">
      <c r="A680" s="9"/>
      <c r="B680" s="9"/>
      <c r="C680" s="9"/>
      <c r="D680" s="9"/>
    </row>
    <row r="681" ht="15.75" customHeight="1" spans="1:4">
      <c r="A681" s="9"/>
      <c r="B681" s="9"/>
      <c r="C681" s="9"/>
      <c r="D681" s="9"/>
    </row>
    <row r="682" ht="15.75" customHeight="1" spans="1:4">
      <c r="A682" s="9"/>
      <c r="B682" s="9"/>
      <c r="C682" s="9"/>
      <c r="D682" s="9"/>
    </row>
    <row r="683" ht="15.75" customHeight="1" spans="1:4">
      <c r="A683" s="9"/>
      <c r="B683" s="9"/>
      <c r="C683" s="9"/>
      <c r="D683" s="9"/>
    </row>
    <row r="684" ht="15.75" customHeight="1" spans="1:4">
      <c r="A684" s="9"/>
      <c r="B684" s="9"/>
      <c r="C684" s="9"/>
      <c r="D684" s="9"/>
    </row>
    <row r="685" ht="15.75" customHeight="1" spans="1:4">
      <c r="A685" s="9"/>
      <c r="B685" s="9"/>
      <c r="C685" s="9"/>
      <c r="D685" s="9"/>
    </row>
    <row r="686" ht="15.75" customHeight="1" spans="1:4">
      <c r="A686" s="9"/>
      <c r="B686" s="9"/>
      <c r="C686" s="9"/>
      <c r="D686" s="9"/>
    </row>
    <row r="687" ht="15.75" customHeight="1" spans="1:4">
      <c r="A687" s="9"/>
      <c r="B687" s="9"/>
      <c r="C687" s="9"/>
      <c r="D687" s="9"/>
    </row>
    <row r="688" ht="15.75" customHeight="1" spans="1:4">
      <c r="A688" s="9"/>
      <c r="B688" s="9"/>
      <c r="C688" s="9"/>
      <c r="D688" s="9"/>
    </row>
    <row r="689" ht="15.75" customHeight="1" spans="1:4">
      <c r="A689" s="9"/>
      <c r="B689" s="9"/>
      <c r="C689" s="9"/>
      <c r="D689" s="9"/>
    </row>
    <row r="690" ht="15.75" customHeight="1" spans="1:4">
      <c r="A690" s="9"/>
      <c r="B690" s="9"/>
      <c r="C690" s="9"/>
      <c r="D690" s="9"/>
    </row>
    <row r="691" ht="15.75" customHeight="1" spans="1:4">
      <c r="A691" s="9"/>
      <c r="B691" s="9"/>
      <c r="C691" s="9"/>
      <c r="D691" s="9"/>
    </row>
    <row r="692" ht="15.75" customHeight="1" spans="1:4">
      <c r="A692" s="9"/>
      <c r="B692" s="9"/>
      <c r="C692" s="9"/>
      <c r="D692" s="9"/>
    </row>
    <row r="693" ht="15.75" customHeight="1" spans="1:4">
      <c r="A693" s="9"/>
      <c r="B693" s="9"/>
      <c r="C693" s="9"/>
      <c r="D693" s="9"/>
    </row>
    <row r="694" ht="15.75" customHeight="1" spans="1:4">
      <c r="A694" s="9"/>
      <c r="B694" s="9"/>
      <c r="C694" s="9"/>
      <c r="D694" s="9"/>
    </row>
    <row r="695" ht="15.75" customHeight="1" spans="1:4">
      <c r="A695" s="9"/>
      <c r="B695" s="9"/>
      <c r="C695" s="9"/>
      <c r="D695" s="9"/>
    </row>
    <row r="696" ht="15.75" customHeight="1" spans="1:4">
      <c r="A696" s="9"/>
      <c r="B696" s="9"/>
      <c r="C696" s="9"/>
      <c r="D696" s="9"/>
    </row>
    <row r="697" ht="15.75" customHeight="1" spans="1:4">
      <c r="A697" s="9"/>
      <c r="B697" s="9"/>
      <c r="C697" s="9"/>
      <c r="D697" s="9"/>
    </row>
    <row r="698" ht="15.75" customHeight="1" spans="1:4">
      <c r="A698" s="9"/>
      <c r="B698" s="9"/>
      <c r="C698" s="9"/>
      <c r="D698" s="9"/>
    </row>
    <row r="699" ht="15.75" customHeight="1" spans="1:4">
      <c r="A699" s="9"/>
      <c r="B699" s="9"/>
      <c r="C699" s="9"/>
      <c r="D699" s="9"/>
    </row>
    <row r="700" ht="15.75" customHeight="1" spans="1:4">
      <c r="A700" s="9"/>
      <c r="B700" s="9"/>
      <c r="C700" s="9"/>
      <c r="D700" s="9"/>
    </row>
    <row r="701" ht="15.75" customHeight="1" spans="1:4">
      <c r="A701" s="9"/>
      <c r="B701" s="9"/>
      <c r="C701" s="9"/>
      <c r="D701" s="9"/>
    </row>
    <row r="702" ht="15.75" customHeight="1" spans="1:4">
      <c r="A702" s="9"/>
      <c r="B702" s="9"/>
      <c r="C702" s="9"/>
      <c r="D702" s="9"/>
    </row>
    <row r="703" ht="15.75" customHeight="1" spans="1:4">
      <c r="A703" s="9"/>
      <c r="B703" s="9"/>
      <c r="C703" s="9"/>
      <c r="D703" s="9"/>
    </row>
    <row r="704" ht="15.75" customHeight="1" spans="1:4">
      <c r="A704" s="9"/>
      <c r="B704" s="9"/>
      <c r="C704" s="9"/>
      <c r="D704" s="9"/>
    </row>
    <row r="705" ht="15.75" customHeight="1" spans="1:4">
      <c r="A705" s="9"/>
      <c r="B705" s="9"/>
      <c r="C705" s="9"/>
      <c r="D705" s="9"/>
    </row>
    <row r="706" ht="15.75" customHeight="1" spans="1:4">
      <c r="A706" s="9"/>
      <c r="B706" s="9"/>
      <c r="C706" s="9"/>
      <c r="D706" s="9"/>
    </row>
    <row r="707" ht="15.75" customHeight="1" spans="1:4">
      <c r="A707" s="9"/>
      <c r="B707" s="9"/>
      <c r="C707" s="9"/>
      <c r="D707" s="9"/>
    </row>
    <row r="708" ht="15.75" customHeight="1" spans="1:4">
      <c r="A708" s="9"/>
      <c r="B708" s="9"/>
      <c r="C708" s="9"/>
      <c r="D708" s="9"/>
    </row>
    <row r="709" ht="15.75" customHeight="1" spans="1:4">
      <c r="A709" s="9"/>
      <c r="B709" s="9"/>
      <c r="C709" s="9"/>
      <c r="D709" s="9"/>
    </row>
    <row r="710" ht="15.75" customHeight="1" spans="1:4">
      <c r="A710" s="9"/>
      <c r="B710" s="9"/>
      <c r="C710" s="9"/>
      <c r="D710" s="9"/>
    </row>
    <row r="711" ht="15.75" customHeight="1" spans="1:4">
      <c r="A711" s="9"/>
      <c r="B711" s="9"/>
      <c r="C711" s="9"/>
      <c r="D711" s="9"/>
    </row>
    <row r="712" ht="15.75" customHeight="1" spans="1:4">
      <c r="A712" s="9"/>
      <c r="B712" s="9"/>
      <c r="C712" s="9"/>
      <c r="D712" s="9"/>
    </row>
    <row r="713" ht="15.75" customHeight="1" spans="1:4">
      <c r="A713" s="9"/>
      <c r="B713" s="9"/>
      <c r="C713" s="9"/>
      <c r="D713" s="9"/>
    </row>
    <row r="714" ht="15.75" customHeight="1" spans="1:4">
      <c r="A714" s="9"/>
      <c r="B714" s="9"/>
      <c r="C714" s="9"/>
      <c r="D714" s="9"/>
    </row>
    <row r="715" ht="15.75" customHeight="1" spans="1:4">
      <c r="A715" s="9"/>
      <c r="B715" s="9"/>
      <c r="C715" s="9"/>
      <c r="D715" s="9"/>
    </row>
    <row r="716" ht="15.75" customHeight="1" spans="1:4">
      <c r="A716" s="9"/>
      <c r="B716" s="9"/>
      <c r="C716" s="9"/>
      <c r="D716" s="9"/>
    </row>
    <row r="717" ht="15.75" customHeight="1" spans="1:4">
      <c r="A717" s="9"/>
      <c r="B717" s="9"/>
      <c r="C717" s="9"/>
      <c r="D717" s="9"/>
    </row>
    <row r="718" ht="15.75" customHeight="1" spans="1:4">
      <c r="A718" s="9"/>
      <c r="B718" s="9"/>
      <c r="C718" s="9"/>
      <c r="D718" s="9"/>
    </row>
    <row r="719" ht="15.75" customHeight="1" spans="1:4">
      <c r="A719" s="9"/>
      <c r="B719" s="9"/>
      <c r="C719" s="9"/>
      <c r="D719" s="9"/>
    </row>
    <row r="720" ht="15.75" customHeight="1" spans="1:4">
      <c r="A720" s="9"/>
      <c r="B720" s="9"/>
      <c r="C720" s="9"/>
      <c r="D720" s="9"/>
    </row>
    <row r="721" ht="15.75" customHeight="1" spans="1:4">
      <c r="A721" s="9"/>
      <c r="B721" s="9"/>
      <c r="C721" s="9"/>
      <c r="D721" s="9"/>
    </row>
    <row r="722" ht="15.75" customHeight="1" spans="1:4">
      <c r="A722" s="9"/>
      <c r="B722" s="9"/>
      <c r="C722" s="9"/>
      <c r="D722" s="9"/>
    </row>
    <row r="723" ht="15.75" customHeight="1" spans="1:4">
      <c r="A723" s="9"/>
      <c r="B723" s="9"/>
      <c r="C723" s="9"/>
      <c r="D723" s="9"/>
    </row>
    <row r="724" ht="15.75" customHeight="1" spans="1:4">
      <c r="A724" s="9"/>
      <c r="B724" s="9"/>
      <c r="C724" s="9"/>
      <c r="D724" s="9"/>
    </row>
    <row r="725" ht="15.75" customHeight="1" spans="1:4">
      <c r="A725" s="9"/>
      <c r="B725" s="9"/>
      <c r="C725" s="9"/>
      <c r="D725" s="9"/>
    </row>
    <row r="726" ht="15.75" customHeight="1" spans="1:4">
      <c r="A726" s="9"/>
      <c r="B726" s="9"/>
      <c r="C726" s="9"/>
      <c r="D726" s="9"/>
    </row>
    <row r="727" ht="15.75" customHeight="1" spans="1:4">
      <c r="A727" s="9"/>
      <c r="B727" s="9"/>
      <c r="C727" s="9"/>
      <c r="D727" s="9"/>
    </row>
    <row r="728" ht="15.75" customHeight="1" spans="1:4">
      <c r="A728" s="9"/>
      <c r="B728" s="9"/>
      <c r="C728" s="9"/>
      <c r="D728" s="9"/>
    </row>
    <row r="729" ht="15.75" customHeight="1" spans="1:4">
      <c r="A729" s="9"/>
      <c r="B729" s="9"/>
      <c r="C729" s="9"/>
      <c r="D729" s="9"/>
    </row>
    <row r="730" ht="15.75" customHeight="1" spans="1:4">
      <c r="A730" s="9"/>
      <c r="B730" s="9"/>
      <c r="C730" s="9"/>
      <c r="D730" s="9"/>
    </row>
    <row r="731" ht="15.75" customHeight="1" spans="1:4">
      <c r="A731" s="9"/>
      <c r="B731" s="9"/>
      <c r="C731" s="9"/>
      <c r="D731" s="9"/>
    </row>
    <row r="732" ht="15.75" customHeight="1" spans="1:4">
      <c r="A732" s="9"/>
      <c r="B732" s="9"/>
      <c r="C732" s="9"/>
      <c r="D732" s="9"/>
    </row>
    <row r="733" ht="15.75" customHeight="1" spans="1:4">
      <c r="A733" s="9"/>
      <c r="B733" s="9"/>
      <c r="C733" s="9"/>
      <c r="D733" s="9"/>
    </row>
    <row r="734" ht="15.75" customHeight="1" spans="1:4">
      <c r="A734" s="9"/>
      <c r="B734" s="9"/>
      <c r="C734" s="9"/>
      <c r="D734" s="9"/>
    </row>
    <row r="735" ht="15.75" customHeight="1" spans="1:4">
      <c r="A735" s="9"/>
      <c r="B735" s="9"/>
      <c r="C735" s="9"/>
      <c r="D735" s="9"/>
    </row>
    <row r="736" ht="15.75" customHeight="1" spans="1:4">
      <c r="A736" s="9"/>
      <c r="B736" s="9"/>
      <c r="C736" s="9"/>
      <c r="D736" s="9"/>
    </row>
    <row r="737" ht="15.75" customHeight="1" spans="1:4">
      <c r="A737" s="9"/>
      <c r="B737" s="9"/>
      <c r="C737" s="9"/>
      <c r="D737" s="9"/>
    </row>
    <row r="738" ht="15.75" customHeight="1" spans="1:4">
      <c r="A738" s="9"/>
      <c r="B738" s="9"/>
      <c r="C738" s="9"/>
      <c r="D738" s="9"/>
    </row>
    <row r="739" ht="15.75" customHeight="1" spans="1:4">
      <c r="A739" s="9"/>
      <c r="B739" s="9"/>
      <c r="C739" s="9"/>
      <c r="D739" s="9"/>
    </row>
    <row r="740" ht="15.75" customHeight="1" spans="1:4">
      <c r="A740" s="9"/>
      <c r="B740" s="9"/>
      <c r="C740" s="9"/>
      <c r="D740" s="9"/>
    </row>
    <row r="741" ht="15.75" customHeight="1" spans="1:4">
      <c r="A741" s="9"/>
      <c r="B741" s="9"/>
      <c r="C741" s="9"/>
      <c r="D741" s="9"/>
    </row>
    <row r="742" ht="15.75" customHeight="1" spans="1:4">
      <c r="A742" s="9"/>
      <c r="B742" s="9"/>
      <c r="C742" s="9"/>
      <c r="D742" s="9"/>
    </row>
    <row r="743" ht="15.75" customHeight="1" spans="1:4">
      <c r="A743" s="9"/>
      <c r="B743" s="9"/>
      <c r="C743" s="9"/>
      <c r="D743" s="9"/>
    </row>
    <row r="744" ht="15.75" customHeight="1" spans="1:4">
      <c r="A744" s="9"/>
      <c r="B744" s="9"/>
      <c r="C744" s="9"/>
      <c r="D744" s="9"/>
    </row>
    <row r="745" ht="15.75" customHeight="1" spans="1:4">
      <c r="A745" s="9"/>
      <c r="B745" s="9"/>
      <c r="C745" s="9"/>
      <c r="D745" s="9"/>
    </row>
    <row r="746" ht="15.75" customHeight="1" spans="1:4">
      <c r="A746" s="9"/>
      <c r="B746" s="9"/>
      <c r="C746" s="9"/>
      <c r="D746" s="9"/>
    </row>
    <row r="747" ht="15.75" customHeight="1" spans="1:4">
      <c r="A747" s="9"/>
      <c r="B747" s="9"/>
      <c r="C747" s="9"/>
      <c r="D747" s="9"/>
    </row>
    <row r="748" ht="15.75" customHeight="1" spans="1:4">
      <c r="A748" s="9"/>
      <c r="B748" s="9"/>
      <c r="C748" s="9"/>
      <c r="D748" s="9"/>
    </row>
    <row r="749" ht="15.75" customHeight="1" spans="1:4">
      <c r="A749" s="9"/>
      <c r="B749" s="9"/>
      <c r="C749" s="9"/>
      <c r="D749" s="9"/>
    </row>
    <row r="750" ht="15.75" customHeight="1" spans="1:4">
      <c r="A750" s="9"/>
      <c r="B750" s="9"/>
      <c r="C750" s="9"/>
      <c r="D750" s="9"/>
    </row>
    <row r="751" ht="15.75" customHeight="1" spans="1:4">
      <c r="A751" s="9"/>
      <c r="B751" s="9"/>
      <c r="C751" s="9"/>
      <c r="D751" s="9"/>
    </row>
    <row r="752" ht="15.75" customHeight="1" spans="1:4">
      <c r="A752" s="9"/>
      <c r="B752" s="9"/>
      <c r="C752" s="9"/>
      <c r="D752" s="9"/>
    </row>
    <row r="753" ht="15.75" customHeight="1" spans="1:4">
      <c r="A753" s="9"/>
      <c r="B753" s="9"/>
      <c r="C753" s="9"/>
      <c r="D753" s="9"/>
    </row>
    <row r="754" ht="15.75" customHeight="1" spans="1:4">
      <c r="A754" s="9"/>
      <c r="B754" s="9"/>
      <c r="C754" s="9"/>
      <c r="D754" s="9"/>
    </row>
    <row r="755" ht="15.75" customHeight="1" spans="1:4">
      <c r="A755" s="9"/>
      <c r="B755" s="9"/>
      <c r="C755" s="9"/>
      <c r="D755" s="9"/>
    </row>
    <row r="756" ht="15.75" customHeight="1" spans="1:4">
      <c r="A756" s="9"/>
      <c r="B756" s="9"/>
      <c r="C756" s="9"/>
      <c r="D756" s="9"/>
    </row>
    <row r="757" ht="15.75" customHeight="1" spans="1:4">
      <c r="A757" s="9"/>
      <c r="B757" s="9"/>
      <c r="C757" s="9"/>
      <c r="D757" s="9"/>
    </row>
    <row r="758" ht="15.75" customHeight="1" spans="1:4">
      <c r="A758" s="9"/>
      <c r="B758" s="9"/>
      <c r="C758" s="9"/>
      <c r="D758" s="9"/>
    </row>
    <row r="759" ht="15.75" customHeight="1" spans="1:4">
      <c r="A759" s="9"/>
      <c r="B759" s="9"/>
      <c r="C759" s="9"/>
      <c r="D759" s="9"/>
    </row>
    <row r="760" ht="15.75" customHeight="1" spans="1:4">
      <c r="A760" s="9"/>
      <c r="B760" s="9"/>
      <c r="C760" s="9"/>
      <c r="D760" s="9"/>
    </row>
    <row r="761" ht="15.75" customHeight="1" spans="1:4">
      <c r="A761" s="9"/>
      <c r="B761" s="9"/>
      <c r="C761" s="9"/>
      <c r="D761" s="9"/>
    </row>
    <row r="762" ht="15.75" customHeight="1" spans="1:4">
      <c r="A762" s="9"/>
      <c r="B762" s="9"/>
      <c r="C762" s="9"/>
      <c r="D762" s="9"/>
    </row>
    <row r="763" ht="15.75" customHeight="1" spans="1:4">
      <c r="A763" s="9"/>
      <c r="B763" s="9"/>
      <c r="C763" s="9"/>
      <c r="D763" s="9"/>
    </row>
    <row r="764" ht="15.75" customHeight="1" spans="1:4">
      <c r="A764" s="9"/>
      <c r="B764" s="9"/>
      <c r="C764" s="9"/>
      <c r="D764" s="9"/>
    </row>
    <row r="765" ht="15.75" customHeight="1" spans="1:4">
      <c r="A765" s="9"/>
      <c r="B765" s="9"/>
      <c r="C765" s="9"/>
      <c r="D765" s="9"/>
    </row>
    <row r="766" ht="15.75" customHeight="1" spans="1:4">
      <c r="A766" s="9"/>
      <c r="B766" s="9"/>
      <c r="C766" s="9"/>
      <c r="D766" s="9"/>
    </row>
    <row r="767" ht="15.75" customHeight="1" spans="1:4">
      <c r="A767" s="9"/>
      <c r="B767" s="9"/>
      <c r="C767" s="9"/>
      <c r="D767" s="9"/>
    </row>
    <row r="768" ht="15.75" customHeight="1" spans="1:4">
      <c r="A768" s="9"/>
      <c r="B768" s="9"/>
      <c r="C768" s="9"/>
      <c r="D768" s="9"/>
    </row>
    <row r="769" ht="15.75" customHeight="1" spans="1:4">
      <c r="A769" s="9"/>
      <c r="B769" s="9"/>
      <c r="C769" s="9"/>
      <c r="D769" s="9"/>
    </row>
    <row r="770" ht="15.75" customHeight="1" spans="1:4">
      <c r="A770" s="9"/>
      <c r="B770" s="9"/>
      <c r="C770" s="9"/>
      <c r="D770" s="9"/>
    </row>
    <row r="771" ht="15.75" customHeight="1" spans="1:4">
      <c r="A771" s="9"/>
      <c r="B771" s="9"/>
      <c r="C771" s="9"/>
      <c r="D771" s="9"/>
    </row>
    <row r="772" ht="15.75" customHeight="1" spans="1:4">
      <c r="A772" s="9"/>
      <c r="B772" s="9"/>
      <c r="C772" s="9"/>
      <c r="D772" s="9"/>
    </row>
    <row r="773" ht="15.75" customHeight="1" spans="1:4">
      <c r="A773" s="9"/>
      <c r="B773" s="9"/>
      <c r="C773" s="9"/>
      <c r="D773" s="9"/>
    </row>
    <row r="774" ht="15.75" customHeight="1" spans="1:4">
      <c r="A774" s="9"/>
      <c r="B774" s="9"/>
      <c r="C774" s="9"/>
      <c r="D774" s="9"/>
    </row>
    <row r="775" ht="15.75" customHeight="1" spans="1:4">
      <c r="A775" s="9"/>
      <c r="B775" s="9"/>
      <c r="C775" s="9"/>
      <c r="D775" s="9"/>
    </row>
    <row r="776" ht="15.75" customHeight="1" spans="1:4">
      <c r="A776" s="9"/>
      <c r="B776" s="9"/>
      <c r="C776" s="9"/>
      <c r="D776" s="9"/>
    </row>
    <row r="777" ht="15.75" customHeight="1" spans="1:4">
      <c r="A777" s="9"/>
      <c r="B777" s="9"/>
      <c r="C777" s="9"/>
      <c r="D777" s="9"/>
    </row>
    <row r="778" ht="15.75" customHeight="1" spans="1:4">
      <c r="A778" s="9"/>
      <c r="B778" s="9"/>
      <c r="C778" s="9"/>
      <c r="D778" s="9"/>
    </row>
    <row r="779" ht="15.75" customHeight="1" spans="1:4">
      <c r="A779" s="9"/>
      <c r="B779" s="9"/>
      <c r="C779" s="9"/>
      <c r="D779" s="9"/>
    </row>
    <row r="780" ht="15.75" customHeight="1" spans="1:4">
      <c r="A780" s="9"/>
      <c r="B780" s="9"/>
      <c r="C780" s="9"/>
      <c r="D780" s="9"/>
    </row>
    <row r="781" ht="15.75" customHeight="1" spans="1:4">
      <c r="A781" s="9"/>
      <c r="B781" s="9"/>
      <c r="C781" s="9"/>
      <c r="D781" s="9"/>
    </row>
    <row r="782" ht="15.75" customHeight="1" spans="1:4">
      <c r="A782" s="9"/>
      <c r="B782" s="9"/>
      <c r="C782" s="9"/>
      <c r="D782" s="9"/>
    </row>
    <row r="783" ht="15.75" customHeight="1" spans="1:4">
      <c r="A783" s="9"/>
      <c r="B783" s="9"/>
      <c r="C783" s="9"/>
      <c r="D783" s="9"/>
    </row>
    <row r="784" ht="15.75" customHeight="1" spans="1:4">
      <c r="A784" s="9"/>
      <c r="B784" s="9"/>
      <c r="C784" s="9"/>
      <c r="D784" s="9"/>
    </row>
    <row r="785" ht="15.75" customHeight="1" spans="1:4">
      <c r="A785" s="9"/>
      <c r="B785" s="9"/>
      <c r="C785" s="9"/>
      <c r="D785" s="9"/>
    </row>
    <row r="786" ht="15.75" customHeight="1" spans="1:4">
      <c r="A786" s="9"/>
      <c r="B786" s="9"/>
      <c r="C786" s="9"/>
      <c r="D786" s="9"/>
    </row>
    <row r="787" ht="15.75" customHeight="1" spans="1:4">
      <c r="A787" s="9"/>
      <c r="B787" s="9"/>
      <c r="C787" s="9"/>
      <c r="D787" s="9"/>
    </row>
    <row r="788" ht="15.75" customHeight="1" spans="1:4">
      <c r="A788" s="9"/>
      <c r="B788" s="9"/>
      <c r="C788" s="9"/>
      <c r="D788" s="9"/>
    </row>
    <row r="789" ht="15.75" customHeight="1" spans="1:4">
      <c r="A789" s="9"/>
      <c r="B789" s="9"/>
      <c r="C789" s="9"/>
      <c r="D789" s="9"/>
    </row>
    <row r="790" ht="15.75" customHeight="1" spans="1:4">
      <c r="A790" s="9"/>
      <c r="B790" s="9"/>
      <c r="C790" s="9"/>
      <c r="D790" s="9"/>
    </row>
    <row r="791" ht="15.75" customHeight="1" spans="1:4">
      <c r="A791" s="9"/>
      <c r="B791" s="9"/>
      <c r="C791" s="9"/>
      <c r="D791" s="9"/>
    </row>
    <row r="792" ht="15.75" customHeight="1" spans="1:4">
      <c r="A792" s="9"/>
      <c r="B792" s="9"/>
      <c r="C792" s="9"/>
      <c r="D792" s="9"/>
    </row>
    <row r="793" ht="15.75" customHeight="1" spans="1:4">
      <c r="A793" s="9"/>
      <c r="B793" s="9"/>
      <c r="C793" s="9"/>
      <c r="D793" s="9"/>
    </row>
    <row r="794" ht="15.75" customHeight="1" spans="1:4">
      <c r="A794" s="9"/>
      <c r="B794" s="9"/>
      <c r="C794" s="9"/>
      <c r="D794" s="9"/>
    </row>
    <row r="795" ht="15.75" customHeight="1" spans="1:4">
      <c r="A795" s="9"/>
      <c r="B795" s="9"/>
      <c r="C795" s="9"/>
      <c r="D795" s="9"/>
    </row>
    <row r="796" ht="15.75" customHeight="1" spans="1:4">
      <c r="A796" s="9"/>
      <c r="B796" s="9"/>
      <c r="C796" s="9"/>
      <c r="D796" s="9"/>
    </row>
    <row r="797" ht="15.75" customHeight="1" spans="1:4">
      <c r="A797" s="9"/>
      <c r="B797" s="9"/>
      <c r="C797" s="9"/>
      <c r="D797" s="9"/>
    </row>
    <row r="798" ht="15.75" customHeight="1" spans="1:4">
      <c r="A798" s="9"/>
      <c r="B798" s="9"/>
      <c r="C798" s="9"/>
      <c r="D798" s="9"/>
    </row>
    <row r="799" ht="15.75" customHeight="1" spans="1:4">
      <c r="A799" s="9"/>
      <c r="B799" s="9"/>
      <c r="C799" s="9"/>
      <c r="D799" s="9"/>
    </row>
    <row r="800" ht="15.75" customHeight="1" spans="1:4">
      <c r="A800" s="9"/>
      <c r="B800" s="9"/>
      <c r="C800" s="9"/>
      <c r="D800" s="9"/>
    </row>
    <row r="801" ht="15.75" customHeight="1" spans="1:4">
      <c r="A801" s="9"/>
      <c r="B801" s="9"/>
      <c r="C801" s="9"/>
      <c r="D801" s="9"/>
    </row>
    <row r="802" ht="15.75" customHeight="1" spans="1:4">
      <c r="A802" s="9"/>
      <c r="B802" s="9"/>
      <c r="C802" s="9"/>
      <c r="D802" s="9"/>
    </row>
    <row r="803" ht="15.75" customHeight="1" spans="1:4">
      <c r="A803" s="9"/>
      <c r="B803" s="9"/>
      <c r="C803" s="9"/>
      <c r="D803" s="9"/>
    </row>
    <row r="804" ht="15.75" customHeight="1" spans="1:4">
      <c r="A804" s="9"/>
      <c r="B804" s="9"/>
      <c r="C804" s="9"/>
      <c r="D804" s="9"/>
    </row>
    <row r="805" ht="15.75" customHeight="1" spans="1:4">
      <c r="A805" s="9"/>
      <c r="B805" s="9"/>
      <c r="C805" s="9"/>
      <c r="D805" s="9"/>
    </row>
    <row r="806" ht="15.75" customHeight="1" spans="1:4">
      <c r="A806" s="9"/>
      <c r="B806" s="9"/>
      <c r="C806" s="9"/>
      <c r="D806" s="9"/>
    </row>
    <row r="807" ht="15.75" customHeight="1" spans="1:4">
      <c r="A807" s="9"/>
      <c r="B807" s="9"/>
      <c r="C807" s="9"/>
      <c r="D807" s="9"/>
    </row>
    <row r="808" ht="15.75" customHeight="1" spans="1:4">
      <c r="A808" s="9"/>
      <c r="B808" s="9"/>
      <c r="C808" s="9"/>
      <c r="D808" s="9"/>
    </row>
    <row r="809" ht="15.75" customHeight="1" spans="1:4">
      <c r="A809" s="9"/>
      <c r="B809" s="9"/>
      <c r="C809" s="9"/>
      <c r="D809" s="9"/>
    </row>
    <row r="810" ht="15.75" customHeight="1" spans="1:4">
      <c r="A810" s="9"/>
      <c r="B810" s="9"/>
      <c r="C810" s="9"/>
      <c r="D810" s="9"/>
    </row>
    <row r="811" ht="15.75" customHeight="1" spans="1:4">
      <c r="A811" s="9"/>
      <c r="B811" s="9"/>
      <c r="C811" s="9"/>
      <c r="D811" s="9"/>
    </row>
    <row r="812" ht="15.75" customHeight="1" spans="1:4">
      <c r="A812" s="9"/>
      <c r="B812" s="9"/>
      <c r="C812" s="9"/>
      <c r="D812" s="9"/>
    </row>
    <row r="813" ht="15.75" customHeight="1" spans="1:4">
      <c r="A813" s="9"/>
      <c r="B813" s="9"/>
      <c r="C813" s="9"/>
      <c r="D813" s="9"/>
    </row>
    <row r="814" ht="15.75" customHeight="1" spans="1:4">
      <c r="A814" s="9"/>
      <c r="B814" s="9"/>
      <c r="C814" s="9"/>
      <c r="D814" s="9"/>
    </row>
    <row r="815" ht="15.75" customHeight="1" spans="1:4">
      <c r="A815" s="9"/>
      <c r="B815" s="9"/>
      <c r="C815" s="9"/>
      <c r="D815" s="9"/>
    </row>
    <row r="816" ht="15.75" customHeight="1" spans="1:4">
      <c r="A816" s="9"/>
      <c r="B816" s="9"/>
      <c r="C816" s="9"/>
      <c r="D816" s="9"/>
    </row>
    <row r="817" ht="15.75" customHeight="1" spans="1:4">
      <c r="A817" s="9"/>
      <c r="B817" s="9"/>
      <c r="C817" s="9"/>
      <c r="D817" s="9"/>
    </row>
    <row r="818" ht="15.75" customHeight="1" spans="1:4">
      <c r="A818" s="9"/>
      <c r="B818" s="9"/>
      <c r="C818" s="9"/>
      <c r="D818" s="9"/>
    </row>
    <row r="819" ht="15.75" customHeight="1" spans="1:4">
      <c r="A819" s="9"/>
      <c r="B819" s="9"/>
      <c r="C819" s="9"/>
      <c r="D819" s="9"/>
    </row>
    <row r="820" ht="15.75" customHeight="1" spans="1:4">
      <c r="A820" s="9"/>
      <c r="B820" s="9"/>
      <c r="C820" s="9"/>
      <c r="D820" s="9"/>
    </row>
    <row r="821" ht="15.75" customHeight="1" spans="1:4">
      <c r="A821" s="9"/>
      <c r="B821" s="9"/>
      <c r="C821" s="9"/>
      <c r="D821" s="9"/>
    </row>
    <row r="822" ht="15.75" customHeight="1" spans="1:4">
      <c r="A822" s="9"/>
      <c r="B822" s="9"/>
      <c r="C822" s="9"/>
      <c r="D822" s="9"/>
    </row>
    <row r="823" ht="15.75" customHeight="1" spans="1:4">
      <c r="A823" s="9"/>
      <c r="B823" s="9"/>
      <c r="C823" s="9"/>
      <c r="D823" s="9"/>
    </row>
    <row r="824" ht="15.75" customHeight="1" spans="1:4">
      <c r="A824" s="9"/>
      <c r="B824" s="9"/>
      <c r="C824" s="9"/>
      <c r="D824" s="9"/>
    </row>
    <row r="825" ht="15.75" customHeight="1" spans="1:4">
      <c r="A825" s="9"/>
      <c r="B825" s="9"/>
      <c r="C825" s="9"/>
      <c r="D825" s="9"/>
    </row>
    <row r="826" ht="15.75" customHeight="1" spans="1:4">
      <c r="A826" s="9"/>
      <c r="B826" s="9"/>
      <c r="C826" s="9"/>
      <c r="D826" s="9"/>
    </row>
    <row r="827" ht="15.75" customHeight="1" spans="1:4">
      <c r="A827" s="9"/>
      <c r="B827" s="9"/>
      <c r="C827" s="9"/>
      <c r="D827" s="9"/>
    </row>
    <row r="828" ht="15.75" customHeight="1" spans="1:4">
      <c r="A828" s="9"/>
      <c r="B828" s="9"/>
      <c r="C828" s="9"/>
      <c r="D828" s="9"/>
    </row>
    <row r="829" ht="15.75" customHeight="1" spans="1:4">
      <c r="A829" s="9"/>
      <c r="B829" s="9"/>
      <c r="C829" s="9"/>
      <c r="D829" s="9"/>
    </row>
    <row r="830" ht="15.75" customHeight="1" spans="1:4">
      <c r="A830" s="9"/>
      <c r="B830" s="9"/>
      <c r="C830" s="9"/>
      <c r="D830" s="9"/>
    </row>
    <row r="831" ht="15.75" customHeight="1" spans="1:4">
      <c r="A831" s="9"/>
      <c r="B831" s="9"/>
      <c r="C831" s="9"/>
      <c r="D831" s="9"/>
    </row>
    <row r="832" ht="15.75" customHeight="1" spans="1:4">
      <c r="A832" s="9"/>
      <c r="B832" s="9"/>
      <c r="C832" s="9"/>
      <c r="D832" s="9"/>
    </row>
    <row r="833" ht="15.75" customHeight="1" spans="1:4">
      <c r="A833" s="9"/>
      <c r="B833" s="9"/>
      <c r="C833" s="9"/>
      <c r="D833" s="9"/>
    </row>
    <row r="834" ht="15.75" customHeight="1" spans="1:4">
      <c r="A834" s="9"/>
      <c r="B834" s="9"/>
      <c r="C834" s="9"/>
      <c r="D834" s="9"/>
    </row>
    <row r="835" ht="15.75" customHeight="1" spans="1:4">
      <c r="A835" s="9"/>
      <c r="B835" s="9"/>
      <c r="C835" s="9"/>
      <c r="D835" s="9"/>
    </row>
    <row r="836" ht="15.75" customHeight="1" spans="1:4">
      <c r="A836" s="9"/>
      <c r="B836" s="9"/>
      <c r="C836" s="9"/>
      <c r="D836" s="9"/>
    </row>
    <row r="837" ht="15.75" customHeight="1" spans="1:4">
      <c r="A837" s="9"/>
      <c r="B837" s="9"/>
      <c r="C837" s="9"/>
      <c r="D837" s="9"/>
    </row>
    <row r="838" ht="15.75" customHeight="1" spans="1:4">
      <c r="A838" s="9"/>
      <c r="B838" s="9"/>
      <c r="C838" s="9"/>
      <c r="D838" s="9"/>
    </row>
    <row r="839" ht="15.75" customHeight="1" spans="1:4">
      <c r="A839" s="9"/>
      <c r="B839" s="9"/>
      <c r="C839" s="9"/>
      <c r="D839" s="9"/>
    </row>
    <row r="840" ht="15.75" customHeight="1" spans="1:4">
      <c r="A840" s="9"/>
      <c r="B840" s="9"/>
      <c r="C840" s="9"/>
      <c r="D840" s="9"/>
    </row>
    <row r="841" ht="15.75" customHeight="1" spans="1:4">
      <c r="A841" s="9"/>
      <c r="B841" s="9"/>
      <c r="C841" s="9"/>
      <c r="D841" s="9"/>
    </row>
    <row r="842" ht="15.75" customHeight="1" spans="1:4">
      <c r="A842" s="9"/>
      <c r="B842" s="9"/>
      <c r="C842" s="9"/>
      <c r="D842" s="9"/>
    </row>
    <row r="843" ht="15.75" customHeight="1" spans="1:4">
      <c r="A843" s="9"/>
      <c r="B843" s="9"/>
      <c r="C843" s="9"/>
      <c r="D843" s="9"/>
    </row>
    <row r="844" ht="15.75" customHeight="1" spans="1:4">
      <c r="A844" s="9"/>
      <c r="B844" s="9"/>
      <c r="C844" s="9"/>
      <c r="D844" s="9"/>
    </row>
    <row r="845" ht="15.75" customHeight="1" spans="1:4">
      <c r="A845" s="9"/>
      <c r="B845" s="9"/>
      <c r="C845" s="9"/>
      <c r="D845" s="9"/>
    </row>
    <row r="846" ht="15.75" customHeight="1" spans="1:4">
      <c r="A846" s="9"/>
      <c r="B846" s="9"/>
      <c r="C846" s="9"/>
      <c r="D846" s="9"/>
    </row>
    <row r="847" ht="15.75" customHeight="1" spans="1:4">
      <c r="A847" s="9"/>
      <c r="B847" s="9"/>
      <c r="C847" s="9"/>
      <c r="D847" s="9"/>
    </row>
    <row r="848" ht="15.75" customHeight="1" spans="1:4">
      <c r="A848" s="9"/>
      <c r="B848" s="9"/>
      <c r="C848" s="9"/>
      <c r="D848" s="9"/>
    </row>
    <row r="849" ht="15.75" customHeight="1" spans="1:4">
      <c r="A849" s="9"/>
      <c r="B849" s="9"/>
      <c r="C849" s="9"/>
      <c r="D849" s="9"/>
    </row>
    <row r="850" ht="15.75" customHeight="1" spans="1:4">
      <c r="A850" s="9"/>
      <c r="B850" s="9"/>
      <c r="C850" s="9"/>
      <c r="D850" s="9"/>
    </row>
    <row r="851" ht="15.75" customHeight="1" spans="1:4">
      <c r="A851" s="9"/>
      <c r="B851" s="9"/>
      <c r="C851" s="9"/>
      <c r="D851" s="9"/>
    </row>
    <row r="852" ht="15.75" customHeight="1" spans="1:4">
      <c r="A852" s="9"/>
      <c r="B852" s="9"/>
      <c r="C852" s="9"/>
      <c r="D852" s="9"/>
    </row>
    <row r="853" ht="15.75" customHeight="1" spans="1:4">
      <c r="A853" s="9"/>
      <c r="B853" s="9"/>
      <c r="C853" s="9"/>
      <c r="D853" s="9"/>
    </row>
    <row r="854" ht="15.75" customHeight="1" spans="1:4">
      <c r="A854" s="9"/>
      <c r="B854" s="9"/>
      <c r="C854" s="9"/>
      <c r="D854" s="9"/>
    </row>
    <row r="855" ht="15.75" customHeight="1" spans="1:4">
      <c r="A855" s="9"/>
      <c r="B855" s="9"/>
      <c r="C855" s="9"/>
      <c r="D855" s="9"/>
    </row>
    <row r="856" ht="15.75" customHeight="1" spans="1:4">
      <c r="A856" s="9"/>
      <c r="B856" s="9"/>
      <c r="C856" s="9"/>
      <c r="D856" s="9"/>
    </row>
    <row r="857" ht="15.75" customHeight="1" spans="1:4">
      <c r="A857" s="9"/>
      <c r="B857" s="9"/>
      <c r="C857" s="9"/>
      <c r="D857" s="9"/>
    </row>
    <row r="858" ht="15.75" customHeight="1" spans="1:4">
      <c r="A858" s="9"/>
      <c r="B858" s="9"/>
      <c r="C858" s="9"/>
      <c r="D858" s="9"/>
    </row>
    <row r="859" ht="15.75" customHeight="1" spans="1:4">
      <c r="A859" s="9"/>
      <c r="B859" s="9"/>
      <c r="C859" s="9"/>
      <c r="D859" s="9"/>
    </row>
    <row r="860" ht="15.75" customHeight="1" spans="1:4">
      <c r="A860" s="9"/>
      <c r="B860" s="9"/>
      <c r="C860" s="9"/>
      <c r="D860" s="9"/>
    </row>
    <row r="861" ht="15.75" customHeight="1" spans="1:4">
      <c r="A861" s="9"/>
      <c r="B861" s="9"/>
      <c r="C861" s="9"/>
      <c r="D861" s="9"/>
    </row>
    <row r="862" ht="15.75" customHeight="1" spans="1:4">
      <c r="A862" s="9"/>
      <c r="B862" s="9"/>
      <c r="C862" s="9"/>
      <c r="D862" s="9"/>
    </row>
    <row r="863" ht="15.75" customHeight="1" spans="1:4">
      <c r="A863" s="9"/>
      <c r="B863" s="9"/>
      <c r="C863" s="9"/>
      <c r="D863" s="9"/>
    </row>
    <row r="864" ht="15.75" customHeight="1" spans="1:4">
      <c r="A864" s="9"/>
      <c r="B864" s="9"/>
      <c r="C864" s="9"/>
      <c r="D864" s="9"/>
    </row>
    <row r="865" ht="15.75" customHeight="1" spans="1:4">
      <c r="A865" s="9"/>
      <c r="B865" s="9"/>
      <c r="C865" s="9"/>
      <c r="D865" s="9"/>
    </row>
    <row r="866" ht="15.75" customHeight="1" spans="1:4">
      <c r="A866" s="9"/>
      <c r="B866" s="9"/>
      <c r="C866" s="9"/>
      <c r="D866" s="9"/>
    </row>
    <row r="867" ht="15.75" customHeight="1" spans="1:4">
      <c r="A867" s="9"/>
      <c r="B867" s="9"/>
      <c r="C867" s="9"/>
      <c r="D867" s="9"/>
    </row>
    <row r="868" ht="15.75" customHeight="1" spans="1:4">
      <c r="A868" s="9"/>
      <c r="B868" s="9"/>
      <c r="C868" s="9"/>
      <c r="D868" s="9"/>
    </row>
    <row r="869" ht="15.75" customHeight="1" spans="1:4">
      <c r="A869" s="9"/>
      <c r="B869" s="9"/>
      <c r="C869" s="9"/>
      <c r="D869" s="9"/>
    </row>
    <row r="870" ht="15.75" customHeight="1" spans="1:4">
      <c r="A870" s="9"/>
      <c r="B870" s="9"/>
      <c r="C870" s="9"/>
      <c r="D870" s="9"/>
    </row>
    <row r="871" ht="15.75" customHeight="1" spans="1:4">
      <c r="A871" s="9"/>
      <c r="B871" s="9"/>
      <c r="C871" s="9"/>
      <c r="D871" s="9"/>
    </row>
    <row r="872" ht="15.75" customHeight="1" spans="1:4">
      <c r="A872" s="9"/>
      <c r="B872" s="9"/>
      <c r="C872" s="9"/>
      <c r="D872" s="9"/>
    </row>
    <row r="873" ht="15.75" customHeight="1" spans="1:4">
      <c r="A873" s="9"/>
      <c r="B873" s="9"/>
      <c r="C873" s="9"/>
      <c r="D873" s="9"/>
    </row>
    <row r="874" ht="15.75" customHeight="1" spans="1:4">
      <c r="A874" s="9"/>
      <c r="B874" s="9"/>
      <c r="C874" s="9"/>
      <c r="D874" s="9"/>
    </row>
    <row r="875" ht="15.75" customHeight="1" spans="1:4">
      <c r="A875" s="9"/>
      <c r="B875" s="9"/>
      <c r="C875" s="9"/>
      <c r="D875" s="9"/>
    </row>
    <row r="876" ht="15.75" customHeight="1" spans="1:4">
      <c r="A876" s="9"/>
      <c r="B876" s="9"/>
      <c r="C876" s="9"/>
      <c r="D876" s="9"/>
    </row>
    <row r="877" ht="15.75" customHeight="1" spans="1:4">
      <c r="A877" s="9"/>
      <c r="B877" s="9"/>
      <c r="C877" s="9"/>
      <c r="D877" s="9"/>
    </row>
    <row r="878" ht="15.75" customHeight="1" spans="1:4">
      <c r="A878" s="9"/>
      <c r="B878" s="9"/>
      <c r="C878" s="9"/>
      <c r="D878" s="9"/>
    </row>
    <row r="879" ht="15.75" customHeight="1" spans="1:4">
      <c r="A879" s="9"/>
      <c r="B879" s="9"/>
      <c r="C879" s="9"/>
      <c r="D879" s="9"/>
    </row>
    <row r="880" ht="15.75" customHeight="1" spans="1:4">
      <c r="A880" s="9"/>
      <c r="B880" s="9"/>
      <c r="C880" s="9"/>
      <c r="D880" s="9"/>
    </row>
    <row r="881" ht="15.75" customHeight="1" spans="1:4">
      <c r="A881" s="9"/>
      <c r="B881" s="9"/>
      <c r="C881" s="9"/>
      <c r="D881" s="9"/>
    </row>
    <row r="882" ht="15.75" customHeight="1" spans="1:4">
      <c r="A882" s="9"/>
      <c r="B882" s="9"/>
      <c r="C882" s="9"/>
      <c r="D882" s="9"/>
    </row>
    <row r="883" ht="15.75" customHeight="1" spans="1:4">
      <c r="A883" s="9"/>
      <c r="B883" s="9"/>
      <c r="C883" s="9"/>
      <c r="D883" s="9"/>
    </row>
    <row r="884" ht="15.75" customHeight="1" spans="1:4">
      <c r="A884" s="9"/>
      <c r="B884" s="9"/>
      <c r="C884" s="9"/>
      <c r="D884" s="9"/>
    </row>
    <row r="885" ht="15.75" customHeight="1" spans="1:4">
      <c r="A885" s="9"/>
      <c r="B885" s="9"/>
      <c r="C885" s="9"/>
      <c r="D885" s="9"/>
    </row>
    <row r="886" ht="15.75" customHeight="1" spans="1:4">
      <c r="A886" s="9"/>
      <c r="B886" s="9"/>
      <c r="C886" s="9"/>
      <c r="D886" s="9"/>
    </row>
    <row r="887" ht="15.75" customHeight="1" spans="1:4">
      <c r="A887" s="9"/>
      <c r="B887" s="9"/>
      <c r="C887" s="9"/>
      <c r="D887" s="9"/>
    </row>
    <row r="888" ht="15.75" customHeight="1" spans="1:4">
      <c r="A888" s="9"/>
      <c r="B888" s="9"/>
      <c r="C888" s="9"/>
      <c r="D888" s="9"/>
    </row>
    <row r="889" ht="15.75" customHeight="1" spans="1:4">
      <c r="A889" s="9"/>
      <c r="B889" s="9"/>
      <c r="C889" s="9"/>
      <c r="D889" s="9"/>
    </row>
    <row r="890" ht="15.75" customHeight="1" spans="1:4">
      <c r="A890" s="9"/>
      <c r="B890" s="9"/>
      <c r="C890" s="9"/>
      <c r="D890" s="9"/>
    </row>
    <row r="891" ht="15.75" customHeight="1" spans="1:4">
      <c r="A891" s="9"/>
      <c r="B891" s="9"/>
      <c r="C891" s="9"/>
      <c r="D891" s="9"/>
    </row>
    <row r="892" ht="15.75" customHeight="1" spans="1:4">
      <c r="A892" s="9"/>
      <c r="B892" s="9"/>
      <c r="C892" s="9"/>
      <c r="D892" s="9"/>
    </row>
    <row r="893" ht="15.75" customHeight="1" spans="1:4">
      <c r="A893" s="9"/>
      <c r="B893" s="9"/>
      <c r="C893" s="9"/>
      <c r="D893" s="9"/>
    </row>
    <row r="894" ht="15.75" customHeight="1" spans="1:4">
      <c r="A894" s="9"/>
      <c r="B894" s="9"/>
      <c r="C894" s="9"/>
      <c r="D894" s="9"/>
    </row>
    <row r="895" ht="15.75" customHeight="1" spans="1:4">
      <c r="A895" s="9"/>
      <c r="B895" s="9"/>
      <c r="C895" s="9"/>
      <c r="D895" s="9"/>
    </row>
    <row r="896" ht="15.75" customHeight="1" spans="1:4">
      <c r="A896" s="9"/>
      <c r="B896" s="9"/>
      <c r="C896" s="9"/>
      <c r="D896" s="9"/>
    </row>
    <row r="897" ht="15.75" customHeight="1" spans="1:4">
      <c r="A897" s="9"/>
      <c r="B897" s="9"/>
      <c r="C897" s="9"/>
      <c r="D897" s="9"/>
    </row>
    <row r="898" ht="15.75" customHeight="1" spans="1:4">
      <c r="A898" s="9"/>
      <c r="B898" s="9"/>
      <c r="C898" s="9"/>
      <c r="D898" s="9"/>
    </row>
    <row r="899" ht="15.75" customHeight="1" spans="1:4">
      <c r="A899" s="9"/>
      <c r="B899" s="9"/>
      <c r="C899" s="9"/>
      <c r="D899" s="9"/>
    </row>
    <row r="900" ht="15.75" customHeight="1" spans="1:4">
      <c r="A900" s="9"/>
      <c r="B900" s="9"/>
      <c r="C900" s="9"/>
      <c r="D900" s="9"/>
    </row>
    <row r="901" ht="15.75" customHeight="1" spans="1:4">
      <c r="A901" s="9"/>
      <c r="B901" s="9"/>
      <c r="C901" s="9"/>
      <c r="D901" s="9"/>
    </row>
    <row r="902" ht="15.75" customHeight="1" spans="1:4">
      <c r="A902" s="9"/>
      <c r="B902" s="9"/>
      <c r="C902" s="9"/>
      <c r="D902" s="9"/>
    </row>
    <row r="903" ht="15.75" customHeight="1" spans="1:4">
      <c r="A903" s="9"/>
      <c r="B903" s="9"/>
      <c r="C903" s="9"/>
      <c r="D903" s="9"/>
    </row>
    <row r="904" ht="15.75" customHeight="1" spans="1:4">
      <c r="A904" s="9"/>
      <c r="B904" s="9"/>
      <c r="C904" s="9"/>
      <c r="D904" s="9"/>
    </row>
    <row r="905" ht="15.75" customHeight="1" spans="1:4">
      <c r="A905" s="9"/>
      <c r="B905" s="9"/>
      <c r="C905" s="9"/>
      <c r="D905" s="9"/>
    </row>
    <row r="906" ht="15.75" customHeight="1" spans="1:4">
      <c r="A906" s="9"/>
      <c r="B906" s="9"/>
      <c r="C906" s="9"/>
      <c r="D906" s="9"/>
    </row>
    <row r="907" ht="15.75" customHeight="1" spans="1:4">
      <c r="A907" s="9"/>
      <c r="B907" s="9"/>
      <c r="C907" s="9"/>
      <c r="D907" s="9"/>
    </row>
    <row r="908" ht="15.75" customHeight="1" spans="1:4">
      <c r="A908" s="9"/>
      <c r="B908" s="9"/>
      <c r="C908" s="9"/>
      <c r="D908" s="9"/>
    </row>
    <row r="909" ht="15.75" customHeight="1" spans="1:4">
      <c r="A909" s="9"/>
      <c r="B909" s="9"/>
      <c r="C909" s="9"/>
      <c r="D909" s="9"/>
    </row>
    <row r="910" ht="15.75" customHeight="1" spans="1:4">
      <c r="A910" s="9"/>
      <c r="B910" s="9"/>
      <c r="C910" s="9"/>
      <c r="D910" s="9"/>
    </row>
    <row r="911" ht="15.75" customHeight="1" spans="1:4">
      <c r="A911" s="9"/>
      <c r="B911" s="9"/>
      <c r="C911" s="9"/>
      <c r="D911" s="9"/>
    </row>
    <row r="912" ht="15.75" customHeight="1" spans="1:4">
      <c r="A912" s="9"/>
      <c r="B912" s="9"/>
      <c r="C912" s="9"/>
      <c r="D912" s="9"/>
    </row>
    <row r="913" ht="15.75" customHeight="1" spans="1:4">
      <c r="A913" s="9"/>
      <c r="B913" s="9"/>
      <c r="C913" s="9"/>
      <c r="D913" s="9"/>
    </row>
    <row r="914" ht="15.75" customHeight="1" spans="1:4">
      <c r="A914" s="9"/>
      <c r="B914" s="9"/>
      <c r="C914" s="9"/>
      <c r="D914" s="9"/>
    </row>
    <row r="915" ht="15.75" customHeight="1" spans="1:4">
      <c r="A915" s="9"/>
      <c r="B915" s="9"/>
      <c r="C915" s="9"/>
      <c r="D915" s="9"/>
    </row>
    <row r="916" ht="15.75" customHeight="1" spans="1:4">
      <c r="A916" s="9"/>
      <c r="B916" s="9"/>
      <c r="C916" s="9"/>
      <c r="D916" s="9"/>
    </row>
    <row r="917" ht="15.75" customHeight="1" spans="1:4">
      <c r="A917" s="9"/>
      <c r="B917" s="9"/>
      <c r="C917" s="9"/>
      <c r="D917" s="9"/>
    </row>
    <row r="918" ht="15.75" customHeight="1" spans="1:4">
      <c r="A918" s="9"/>
      <c r="B918" s="9"/>
      <c r="C918" s="9"/>
      <c r="D918" s="9"/>
    </row>
    <row r="919" ht="15.75" customHeight="1" spans="1:4">
      <c r="A919" s="9"/>
      <c r="B919" s="9"/>
      <c r="C919" s="9"/>
      <c r="D919" s="9"/>
    </row>
    <row r="920" ht="15.75" customHeight="1" spans="1:4">
      <c r="A920" s="9"/>
      <c r="B920" s="9"/>
      <c r="C920" s="9"/>
      <c r="D920" s="9"/>
    </row>
    <row r="921" ht="15.75" customHeight="1" spans="1:4">
      <c r="A921" s="9"/>
      <c r="B921" s="9"/>
      <c r="C921" s="9"/>
      <c r="D921" s="9"/>
    </row>
    <row r="922" ht="15.75" customHeight="1" spans="1:4">
      <c r="A922" s="9"/>
      <c r="B922" s="9"/>
      <c r="C922" s="9"/>
      <c r="D922" s="9"/>
    </row>
    <row r="923" ht="15.75" customHeight="1" spans="1:4">
      <c r="A923" s="9"/>
      <c r="B923" s="9"/>
      <c r="C923" s="9"/>
      <c r="D923" s="9"/>
    </row>
    <row r="924" ht="15.75" customHeight="1" spans="1:4">
      <c r="A924" s="9"/>
      <c r="B924" s="9"/>
      <c r="C924" s="9"/>
      <c r="D924" s="9"/>
    </row>
    <row r="925" ht="15.75" customHeight="1" spans="1:4">
      <c r="A925" s="9"/>
      <c r="B925" s="9"/>
      <c r="C925" s="9"/>
      <c r="D925" s="9"/>
    </row>
    <row r="926" ht="15.75" customHeight="1" spans="1:4">
      <c r="A926" s="9"/>
      <c r="B926" s="9"/>
      <c r="C926" s="9"/>
      <c r="D926" s="9"/>
    </row>
    <row r="927" ht="15.75" customHeight="1" spans="1:4">
      <c r="A927" s="9"/>
      <c r="B927" s="9"/>
      <c r="C927" s="9"/>
      <c r="D927" s="9"/>
    </row>
    <row r="928" ht="15.75" customHeight="1" spans="1:4">
      <c r="A928" s="9"/>
      <c r="B928" s="9"/>
      <c r="C928" s="9"/>
      <c r="D928" s="9"/>
    </row>
    <row r="929" ht="15.75" customHeight="1" spans="1:4">
      <c r="A929" s="9"/>
      <c r="B929" s="9"/>
      <c r="C929" s="9"/>
      <c r="D929" s="9"/>
    </row>
    <row r="930" ht="15.75" customHeight="1" spans="1:4">
      <c r="A930" s="9"/>
      <c r="B930" s="9"/>
      <c r="C930" s="9"/>
      <c r="D930" s="9"/>
    </row>
    <row r="931" ht="15.75" customHeight="1" spans="1:4">
      <c r="A931" s="9"/>
      <c r="B931" s="9"/>
      <c r="C931" s="9"/>
      <c r="D931" s="9"/>
    </row>
    <row r="932" ht="15.75" customHeight="1" spans="1:4">
      <c r="A932" s="9"/>
      <c r="B932" s="9"/>
      <c r="C932" s="9"/>
      <c r="D932" s="9"/>
    </row>
    <row r="933" ht="15.75" customHeight="1" spans="1:4">
      <c r="A933" s="9"/>
      <c r="B933" s="9"/>
      <c r="C933" s="9"/>
      <c r="D933" s="9"/>
    </row>
    <row r="934" ht="15.75" customHeight="1" spans="1:4">
      <c r="A934" s="9"/>
      <c r="B934" s="9"/>
      <c r="C934" s="9"/>
      <c r="D934" s="9"/>
    </row>
    <row r="935" ht="15.75" customHeight="1" spans="1:4">
      <c r="A935" s="9"/>
      <c r="B935" s="9"/>
      <c r="C935" s="9"/>
      <c r="D935" s="9"/>
    </row>
    <row r="936" ht="15.75" customHeight="1" spans="1:4">
      <c r="A936" s="9"/>
      <c r="B936" s="9"/>
      <c r="C936" s="9"/>
      <c r="D936" s="9"/>
    </row>
    <row r="937" ht="15.75" customHeight="1" spans="1:4">
      <c r="A937" s="9"/>
      <c r="B937" s="9"/>
      <c r="C937" s="9"/>
      <c r="D937" s="9"/>
    </row>
    <row r="938" ht="15.75" customHeight="1" spans="1:4">
      <c r="A938" s="9"/>
      <c r="B938" s="9"/>
      <c r="C938" s="9"/>
      <c r="D938" s="9"/>
    </row>
    <row r="939" ht="15.75" customHeight="1" spans="1:4">
      <c r="A939" s="9"/>
      <c r="B939" s="9"/>
      <c r="C939" s="9"/>
      <c r="D939" s="9"/>
    </row>
    <row r="940" ht="15.75" customHeight="1" spans="1:4">
      <c r="A940" s="9"/>
      <c r="B940" s="9"/>
      <c r="C940" s="9"/>
      <c r="D940" s="9"/>
    </row>
    <row r="941" ht="15.75" customHeight="1" spans="1:4">
      <c r="A941" s="9"/>
      <c r="B941" s="9"/>
      <c r="C941" s="9"/>
      <c r="D941" s="9"/>
    </row>
    <row r="942" ht="15.75" customHeight="1" spans="1:4">
      <c r="A942" s="9"/>
      <c r="B942" s="9"/>
      <c r="C942" s="9"/>
      <c r="D942" s="9"/>
    </row>
    <row r="943" ht="15.75" customHeight="1" spans="1:4">
      <c r="A943" s="9"/>
      <c r="B943" s="9"/>
      <c r="C943" s="9"/>
      <c r="D943" s="9"/>
    </row>
    <row r="944" ht="15.75" customHeight="1" spans="1:4">
      <c r="A944" s="9"/>
      <c r="B944" s="9"/>
      <c r="C944" s="9"/>
      <c r="D944" s="9"/>
    </row>
    <row r="945" ht="15.75" customHeight="1" spans="1:4">
      <c r="A945" s="9"/>
      <c r="B945" s="9"/>
      <c r="C945" s="9"/>
      <c r="D945" s="9"/>
    </row>
    <row r="946" ht="15.75" customHeight="1" spans="1:4">
      <c r="A946" s="9"/>
      <c r="B946" s="9"/>
      <c r="C946" s="9"/>
      <c r="D946" s="9"/>
    </row>
    <row r="947" ht="15.75" customHeight="1" spans="1:4">
      <c r="A947" s="9"/>
      <c r="B947" s="9"/>
      <c r="C947" s="9"/>
      <c r="D947" s="9"/>
    </row>
    <row r="948" ht="15.75" customHeight="1" spans="1:4">
      <c r="A948" s="9"/>
      <c r="B948" s="9"/>
      <c r="C948" s="9"/>
      <c r="D948" s="9"/>
    </row>
    <row r="949" ht="15.75" customHeight="1" spans="1:4">
      <c r="A949" s="9"/>
      <c r="B949" s="9"/>
      <c r="C949" s="9"/>
      <c r="D949" s="9"/>
    </row>
    <row r="950" ht="15.75" customHeight="1" spans="1:4">
      <c r="A950" s="9"/>
      <c r="B950" s="9"/>
      <c r="C950" s="9"/>
      <c r="D950" s="9"/>
    </row>
    <row r="951" ht="15.75" customHeight="1" spans="1:4">
      <c r="A951" s="9"/>
      <c r="B951" s="9"/>
      <c r="C951" s="9"/>
      <c r="D951" s="9"/>
    </row>
    <row r="952" ht="15.75" customHeight="1" spans="1:4">
      <c r="A952" s="9"/>
      <c r="B952" s="9"/>
      <c r="C952" s="9"/>
      <c r="D952" s="9"/>
    </row>
    <row r="953" ht="15.75" customHeight="1" spans="1:4">
      <c r="A953" s="9"/>
      <c r="B953" s="9"/>
      <c r="C953" s="9"/>
      <c r="D953" s="9"/>
    </row>
    <row r="954" ht="15.75" customHeight="1" spans="1:4">
      <c r="A954" s="9"/>
      <c r="B954" s="9"/>
      <c r="C954" s="9"/>
      <c r="D954" s="9"/>
    </row>
    <row r="955" ht="15.75" customHeight="1" spans="1:4">
      <c r="A955" s="9"/>
      <c r="B955" s="9"/>
      <c r="C955" s="9"/>
      <c r="D955" s="9"/>
    </row>
    <row r="956" ht="15.75" customHeight="1" spans="1:4">
      <c r="A956" s="9"/>
      <c r="B956" s="9"/>
      <c r="C956" s="9"/>
      <c r="D956" s="9"/>
    </row>
    <row r="957" ht="15.75" customHeight="1" spans="1:4">
      <c r="A957" s="9"/>
      <c r="B957" s="9"/>
      <c r="C957" s="9"/>
      <c r="D957" s="9"/>
    </row>
    <row r="958" ht="15.75" customHeight="1" spans="1:4">
      <c r="A958" s="9"/>
      <c r="B958" s="9"/>
      <c r="C958" s="9"/>
      <c r="D958" s="9"/>
    </row>
    <row r="959" ht="15.75" customHeight="1" spans="1:4">
      <c r="A959" s="9"/>
      <c r="B959" s="9"/>
      <c r="C959" s="9"/>
      <c r="D959" s="9"/>
    </row>
    <row r="960" ht="15.75" customHeight="1" spans="1:4">
      <c r="A960" s="9"/>
      <c r="B960" s="9"/>
      <c r="C960" s="9"/>
      <c r="D960" s="9"/>
    </row>
    <row r="961" ht="15.75" customHeight="1" spans="1:4">
      <c r="A961" s="9"/>
      <c r="B961" s="9"/>
      <c r="C961" s="9"/>
      <c r="D961" s="9"/>
    </row>
    <row r="962" ht="15.75" customHeight="1" spans="1:4">
      <c r="A962" s="9"/>
      <c r="B962" s="9"/>
      <c r="C962" s="9"/>
      <c r="D962" s="9"/>
    </row>
    <row r="963" ht="15.75" customHeight="1" spans="1:4">
      <c r="A963" s="9"/>
      <c r="B963" s="9"/>
      <c r="C963" s="9"/>
      <c r="D963" s="9"/>
    </row>
    <row r="964" ht="15.75" customHeight="1" spans="1:4">
      <c r="A964" s="9"/>
      <c r="B964" s="9"/>
      <c r="C964" s="9"/>
      <c r="D964" s="9"/>
    </row>
    <row r="965" ht="15.75" customHeight="1" spans="1:4">
      <c r="A965" s="9"/>
      <c r="B965" s="9"/>
      <c r="C965" s="9"/>
      <c r="D965" s="9"/>
    </row>
    <row r="966" ht="15.75" customHeight="1" spans="1:4">
      <c r="A966" s="9"/>
      <c r="B966" s="9"/>
      <c r="C966" s="9"/>
      <c r="D966" s="9"/>
    </row>
    <row r="967" ht="15.75" customHeight="1" spans="1:4">
      <c r="A967" s="9"/>
      <c r="B967" s="9"/>
      <c r="C967" s="9"/>
      <c r="D967" s="9"/>
    </row>
    <row r="968" ht="15.75" customHeight="1" spans="1:4">
      <c r="A968" s="9"/>
      <c r="B968" s="9"/>
      <c r="C968" s="9"/>
      <c r="D968" s="9"/>
    </row>
    <row r="969" ht="15.75" customHeight="1" spans="1:4">
      <c r="A969" s="9"/>
      <c r="B969" s="9"/>
      <c r="C969" s="9"/>
      <c r="D969" s="9"/>
    </row>
    <row r="970" ht="15.75" customHeight="1" spans="1:4">
      <c r="A970" s="9"/>
      <c r="B970" s="9"/>
      <c r="C970" s="9"/>
      <c r="D970" s="9"/>
    </row>
    <row r="971" ht="15.75" customHeight="1" spans="1:4">
      <c r="A971" s="9"/>
      <c r="B971" s="9"/>
      <c r="C971" s="9"/>
      <c r="D971" s="9"/>
    </row>
    <row r="972" ht="15.75" customHeight="1" spans="1:4">
      <c r="A972" s="9"/>
      <c r="B972" s="9"/>
      <c r="C972" s="9"/>
      <c r="D972" s="9"/>
    </row>
    <row r="973" ht="15.75" customHeight="1" spans="1:4">
      <c r="A973" s="9"/>
      <c r="B973" s="9"/>
      <c r="C973" s="9"/>
      <c r="D973" s="9"/>
    </row>
    <row r="974" ht="15.75" customHeight="1" spans="1:4">
      <c r="A974" s="9"/>
      <c r="B974" s="9"/>
      <c r="C974" s="9"/>
      <c r="D974" s="9"/>
    </row>
    <row r="975" ht="15.75" customHeight="1" spans="1:4">
      <c r="A975" s="9"/>
      <c r="B975" s="9"/>
      <c r="C975" s="9"/>
      <c r="D975" s="9"/>
    </row>
    <row r="976" ht="15.75" customHeight="1" spans="1:4">
      <c r="A976" s="9"/>
      <c r="B976" s="9"/>
      <c r="C976" s="9"/>
      <c r="D976" s="9"/>
    </row>
    <row r="977" ht="15.75" customHeight="1" spans="1:4">
      <c r="A977" s="9"/>
      <c r="B977" s="9"/>
      <c r="C977" s="9"/>
      <c r="D977" s="9"/>
    </row>
    <row r="978" ht="15.75" customHeight="1" spans="1:4">
      <c r="A978" s="9"/>
      <c r="B978" s="9"/>
      <c r="C978" s="9"/>
      <c r="D978" s="9"/>
    </row>
    <row r="979" ht="15.75" customHeight="1" spans="1:4">
      <c r="A979" s="9"/>
      <c r="B979" s="9"/>
      <c r="C979" s="9"/>
      <c r="D979" s="9"/>
    </row>
    <row r="980" ht="15.75" customHeight="1" spans="1:4">
      <c r="A980" s="9"/>
      <c r="B980" s="9"/>
      <c r="C980" s="9"/>
      <c r="D980" s="9"/>
    </row>
    <row r="981" ht="15.75" customHeight="1" spans="1:4">
      <c r="A981" s="9"/>
      <c r="B981" s="9"/>
      <c r="C981" s="9"/>
      <c r="D981" s="9"/>
    </row>
    <row r="982" ht="15.75" customHeight="1" spans="1:4">
      <c r="A982" s="9"/>
      <c r="B982" s="9"/>
      <c r="C982" s="9"/>
      <c r="D982" s="9"/>
    </row>
    <row r="983" ht="15.75" customHeight="1" spans="1:4">
      <c r="A983" s="9"/>
      <c r="B983" s="9"/>
      <c r="C983" s="9"/>
      <c r="D983" s="9"/>
    </row>
    <row r="984" ht="15.75" customHeight="1" spans="1:4">
      <c r="A984" s="9"/>
      <c r="B984" s="9"/>
      <c r="C984" s="9"/>
      <c r="D984" s="9"/>
    </row>
    <row r="985" ht="15.75" customHeight="1" spans="1:4">
      <c r="A985" s="9"/>
      <c r="B985" s="9"/>
      <c r="C985" s="9"/>
      <c r="D985" s="9"/>
    </row>
    <row r="986" ht="15.75" customHeight="1" spans="1:4">
      <c r="A986" s="9"/>
      <c r="B986" s="9"/>
      <c r="C986" s="9"/>
      <c r="D986" s="9"/>
    </row>
    <row r="987" ht="15.75" customHeight="1" spans="1:4">
      <c r="A987" s="9"/>
      <c r="B987" s="9"/>
      <c r="C987" s="9"/>
      <c r="D987" s="9"/>
    </row>
    <row r="988" ht="15.75" customHeight="1" spans="1:4">
      <c r="A988" s="9"/>
      <c r="B988" s="9"/>
      <c r="C988" s="9"/>
      <c r="D988" s="9"/>
    </row>
    <row r="989" ht="15.75" customHeight="1" spans="1:4">
      <c r="A989" s="9"/>
      <c r="B989" s="9"/>
      <c r="C989" s="9"/>
      <c r="D989" s="9"/>
    </row>
    <row r="990" ht="15.75" customHeight="1" spans="1:4">
      <c r="A990" s="9"/>
      <c r="B990" s="9"/>
      <c r="C990" s="9"/>
      <c r="D990" s="9"/>
    </row>
    <row r="991" ht="15.75" customHeight="1" spans="1:4">
      <c r="A991" s="9"/>
      <c r="B991" s="9"/>
      <c r="C991" s="9"/>
      <c r="D991" s="9"/>
    </row>
    <row r="992" ht="15.75" customHeight="1" spans="1:4">
      <c r="A992" s="9"/>
      <c r="B992" s="9"/>
      <c r="C992" s="9"/>
      <c r="D992" s="9"/>
    </row>
    <row r="993" ht="15.75" customHeight="1" spans="1:4">
      <c r="A993" s="9"/>
      <c r="B993" s="9"/>
      <c r="C993" s="9"/>
      <c r="D993" s="9"/>
    </row>
    <row r="994" ht="15.75" customHeight="1" spans="1:4">
      <c r="A994" s="9"/>
      <c r="B994" s="9"/>
      <c r="C994" s="9"/>
      <c r="D994" s="9"/>
    </row>
    <row r="995" ht="15.75" customHeight="1" spans="1:4">
      <c r="A995" s="9"/>
      <c r="B995" s="9"/>
      <c r="C995" s="9"/>
      <c r="D995" s="9"/>
    </row>
    <row r="996" ht="15.75" customHeight="1" spans="1:4">
      <c r="A996" s="9"/>
      <c r="B996" s="9"/>
      <c r="C996" s="9"/>
      <c r="D996" s="9"/>
    </row>
    <row r="997" ht="15.75" customHeight="1" spans="1:4">
      <c r="A997" s="9"/>
      <c r="B997" s="9"/>
      <c r="C997" s="9"/>
      <c r="D997" s="9"/>
    </row>
    <row r="998" ht="15.75" customHeight="1" spans="1:4">
      <c r="A998" s="9"/>
      <c r="B998" s="9"/>
      <c r="C998" s="9"/>
      <c r="D998" s="9"/>
    </row>
    <row r="999" ht="15.75" customHeight="1" spans="1:4">
      <c r="A999" s="9"/>
      <c r="B999" s="9"/>
      <c r="C999" s="9"/>
      <c r="D999" s="9"/>
    </row>
    <row r="1000" ht="15.75" customHeight="1" spans="1:4">
      <c r="A1000" s="9"/>
      <c r="B1000" s="9"/>
      <c r="C1000" s="9"/>
      <c r="D1000" s="9"/>
    </row>
  </sheetData>
  <pageMargins left="0.75" right="0.75" top="1" bottom="1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B5" sqref="B5"/>
    </sheetView>
  </sheetViews>
  <sheetFormatPr defaultColWidth="14.4296875" defaultRowHeight="15" customHeight="1"/>
  <cols>
    <col min="1" max="1" width="44" customWidth="1"/>
    <col min="2" max="14" width="12" customWidth="1"/>
    <col min="15" max="26" width="8.7109375" customWidth="1"/>
  </cols>
  <sheetData>
    <row r="1" ht="17.25" customHeight="1" spans="1:16">
      <c r="A1" s="19" t="s">
        <v>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17"/>
      <c r="P1" s="17"/>
    </row>
    <row r="2" customHeight="1" spans="1:16">
      <c r="A2" s="18" t="s">
        <v>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7"/>
      <c r="P2" s="17"/>
    </row>
    <row r="3" customHeight="1" spans="1:16">
      <c r="A3" s="6"/>
      <c r="B3" s="38" t="s">
        <v>82</v>
      </c>
      <c r="C3" s="38" t="s">
        <v>83</v>
      </c>
      <c r="D3" s="38" t="s">
        <v>83</v>
      </c>
      <c r="E3" s="38" t="s">
        <v>83</v>
      </c>
      <c r="F3" s="38" t="s">
        <v>83</v>
      </c>
      <c r="G3" s="38" t="s">
        <v>83</v>
      </c>
      <c r="H3" s="38" t="s">
        <v>83</v>
      </c>
      <c r="I3" s="38" t="s">
        <v>83</v>
      </c>
      <c r="J3" s="38" t="s">
        <v>83</v>
      </c>
      <c r="K3" s="38" t="s">
        <v>83</v>
      </c>
      <c r="L3" s="38" t="s">
        <v>83</v>
      </c>
      <c r="M3" s="38" t="s">
        <v>83</v>
      </c>
      <c r="N3" s="38" t="s">
        <v>83</v>
      </c>
      <c r="O3" s="17"/>
      <c r="P3" s="17"/>
    </row>
    <row r="4" customHeight="1" spans="1:16">
      <c r="A4" s="1" t="s">
        <v>2</v>
      </c>
      <c r="B4" s="39">
        <f>PL!E4</f>
        <v>46113</v>
      </c>
      <c r="C4" s="39">
        <f t="shared" ref="C4:N4" si="0">EDATE(B4,1)</f>
        <v>46143</v>
      </c>
      <c r="D4" s="39">
        <f t="shared" si="0"/>
        <v>46174</v>
      </c>
      <c r="E4" s="39">
        <f t="shared" si="0"/>
        <v>46204</v>
      </c>
      <c r="F4" s="39">
        <f t="shared" si="0"/>
        <v>46235</v>
      </c>
      <c r="G4" s="39">
        <f t="shared" si="0"/>
        <v>46266</v>
      </c>
      <c r="H4" s="39">
        <f t="shared" si="0"/>
        <v>46296</v>
      </c>
      <c r="I4" s="39">
        <f t="shared" si="0"/>
        <v>46327</v>
      </c>
      <c r="J4" s="39">
        <f t="shared" si="0"/>
        <v>46357</v>
      </c>
      <c r="K4" s="39">
        <f t="shared" si="0"/>
        <v>46388</v>
      </c>
      <c r="L4" s="39">
        <f t="shared" si="0"/>
        <v>46419</v>
      </c>
      <c r="M4" s="39">
        <f t="shared" si="0"/>
        <v>46447</v>
      </c>
      <c r="N4" s="39">
        <f t="shared" si="0"/>
        <v>46478</v>
      </c>
      <c r="O4" s="17"/>
      <c r="P4" s="17"/>
    </row>
    <row r="5" customHeight="1" spans="1:16">
      <c r="A5" s="19" t="s">
        <v>84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7"/>
      <c r="P5" s="17"/>
    </row>
    <row r="6" customHeight="1" spans="1:16">
      <c r="A6" s="11" t="s">
        <v>4</v>
      </c>
      <c r="B6" s="21">
        <f>PL!E5</f>
        <v>8000</v>
      </c>
      <c r="C6" s="14">
        <f>B6*(1+Assumptions!$B$5)</f>
        <v>8240</v>
      </c>
      <c r="D6" s="14">
        <f>C6*(1+Assumptions!$B$5)</f>
        <v>8487.2</v>
      </c>
      <c r="E6" s="14">
        <f>D6*(1+Assumptions!$B$5)</f>
        <v>8741.816</v>
      </c>
      <c r="F6" s="14">
        <f>E6*(1+Assumptions!$B$5)</f>
        <v>9004.07048</v>
      </c>
      <c r="G6" s="14">
        <f>F6*(1+Assumptions!$B$5)</f>
        <v>9274.1925944</v>
      </c>
      <c r="H6" s="14">
        <f>G6*(1+Assumptions!$B$5)</f>
        <v>9552.418372232</v>
      </c>
      <c r="I6" s="14">
        <f>H6*(1+Assumptions!$B$5)</f>
        <v>9838.99092339896</v>
      </c>
      <c r="J6" s="14">
        <f>I6*(1+Assumptions!$B$5)</f>
        <v>10134.1606511009</v>
      </c>
      <c r="K6" s="14">
        <f>J6*(1+Assumptions!$B$5)</f>
        <v>10438.185470634</v>
      </c>
      <c r="L6" s="14">
        <f>K6*(1+Assumptions!$B$5)</f>
        <v>10751.331034753</v>
      </c>
      <c r="M6" s="14">
        <f>L6*(1+Assumptions!$B$5)</f>
        <v>11073.8709657956</v>
      </c>
      <c r="N6" s="14">
        <f>M6*(1+Assumptions!$B$5)</f>
        <v>11406.0870947694</v>
      </c>
      <c r="O6" s="17"/>
      <c r="P6" s="17"/>
    </row>
    <row r="7" customHeight="1" spans="1:16">
      <c r="A7" s="11" t="s">
        <v>5</v>
      </c>
      <c r="B7" s="21">
        <f>PL!E6</f>
        <v>0</v>
      </c>
      <c r="C7" s="14">
        <f>C6*Assumptions!$B$6</f>
        <v>453.2</v>
      </c>
      <c r="D7" s="14">
        <f>D6*Assumptions!$B$6</f>
        <v>466.796</v>
      </c>
      <c r="E7" s="14">
        <f>E6*Assumptions!$B$6</f>
        <v>480.79988</v>
      </c>
      <c r="F7" s="14">
        <f>F6*Assumptions!$B$6</f>
        <v>495.2238764</v>
      </c>
      <c r="G7" s="14">
        <f>G6*Assumptions!$B$6</f>
        <v>510.080592692</v>
      </c>
      <c r="H7" s="14">
        <f>H6*Assumptions!$B$6</f>
        <v>525.38301047276</v>
      </c>
      <c r="I7" s="14">
        <f>I6*Assumptions!$B$6</f>
        <v>541.144500786943</v>
      </c>
      <c r="J7" s="14">
        <f>J6*Assumptions!$B$6</f>
        <v>557.378835810551</v>
      </c>
      <c r="K7" s="14">
        <f>K6*Assumptions!$B$6</f>
        <v>574.100200884868</v>
      </c>
      <c r="L7" s="14">
        <f>L6*Assumptions!$B$6</f>
        <v>591.323206911414</v>
      </c>
      <c r="M7" s="14">
        <f>M6*Assumptions!$B$6</f>
        <v>609.062903118756</v>
      </c>
      <c r="N7" s="14">
        <f>N6*Assumptions!$B$6</f>
        <v>627.334790212319</v>
      </c>
      <c r="O7" s="17"/>
      <c r="P7" s="17"/>
    </row>
    <row r="8" customHeight="1" spans="1:16">
      <c r="A8" s="19" t="s">
        <v>6</v>
      </c>
      <c r="B8" s="27">
        <f t="shared" ref="B8:N8" si="1">B6-B7</f>
        <v>8000</v>
      </c>
      <c r="C8" s="27">
        <f t="shared" si="1"/>
        <v>7786.8</v>
      </c>
      <c r="D8" s="27">
        <f t="shared" si="1"/>
        <v>8020.404</v>
      </c>
      <c r="E8" s="27">
        <f t="shared" si="1"/>
        <v>8261.01612</v>
      </c>
      <c r="F8" s="27">
        <f t="shared" si="1"/>
        <v>8508.8466036</v>
      </c>
      <c r="G8" s="27">
        <f t="shared" si="1"/>
        <v>8764.112001708</v>
      </c>
      <c r="H8" s="27">
        <f t="shared" si="1"/>
        <v>9027.03536175924</v>
      </c>
      <c r="I8" s="27">
        <f t="shared" si="1"/>
        <v>9297.84642261202</v>
      </c>
      <c r="J8" s="27">
        <f t="shared" si="1"/>
        <v>9576.78181529038</v>
      </c>
      <c r="K8" s="27">
        <f t="shared" si="1"/>
        <v>9864.08526974909</v>
      </c>
      <c r="L8" s="27">
        <f t="shared" si="1"/>
        <v>10160.0078278416</v>
      </c>
      <c r="M8" s="27">
        <f t="shared" si="1"/>
        <v>10464.8080626768</v>
      </c>
      <c r="N8" s="27">
        <f t="shared" si="1"/>
        <v>10778.7523045571</v>
      </c>
      <c r="O8" s="17"/>
      <c r="P8" s="17"/>
    </row>
    <row r="9" customHeight="1" spans="1:16">
      <c r="A9" s="11" t="s">
        <v>7</v>
      </c>
      <c r="B9" s="21">
        <f>PL!E8</f>
        <v>4100</v>
      </c>
      <c r="C9" s="14">
        <f>B9*(1+Assumptions!$B$7)</f>
        <v>4141</v>
      </c>
      <c r="D9" s="14">
        <f>C9*(1+Assumptions!$B$7)</f>
        <v>4182.41</v>
      </c>
      <c r="E9" s="14">
        <f>D9*(1+Assumptions!$B$7)</f>
        <v>4224.2341</v>
      </c>
      <c r="F9" s="14">
        <f>E9*(1+Assumptions!$B$7)</f>
        <v>4266.476441</v>
      </c>
      <c r="G9" s="14">
        <f>F9*(1+Assumptions!$B$7)</f>
        <v>4309.14120541</v>
      </c>
      <c r="H9" s="14">
        <f>G9*(1+Assumptions!$B$7)</f>
        <v>4352.2326174641</v>
      </c>
      <c r="I9" s="14">
        <f>H9*(1+Assumptions!$B$7)</f>
        <v>4395.75494363874</v>
      </c>
      <c r="J9" s="14">
        <f>I9*(1+Assumptions!$B$7)</f>
        <v>4439.71249307513</v>
      </c>
      <c r="K9" s="14">
        <f>J9*(1+Assumptions!$B$7)</f>
        <v>4484.10961800588</v>
      </c>
      <c r="L9" s="14">
        <f>K9*(1+Assumptions!$B$7)</f>
        <v>4528.95071418594</v>
      </c>
      <c r="M9" s="14">
        <f>L9*(1+Assumptions!$B$7)</f>
        <v>4574.2402213278</v>
      </c>
      <c r="N9" s="14">
        <f>M9*(1+Assumptions!$B$7)</f>
        <v>4619.98262354108</v>
      </c>
      <c r="O9" s="17"/>
      <c r="P9" s="17"/>
    </row>
    <row r="10" customHeight="1" spans="1:16">
      <c r="A10" s="19" t="s">
        <v>85</v>
      </c>
      <c r="B10" s="27">
        <f t="shared" ref="B10:N10" si="2">B8-B9</f>
        <v>3900</v>
      </c>
      <c r="C10" s="27">
        <f t="shared" si="2"/>
        <v>3645.8</v>
      </c>
      <c r="D10" s="27">
        <f t="shared" si="2"/>
        <v>3837.994</v>
      </c>
      <c r="E10" s="27">
        <f t="shared" si="2"/>
        <v>4036.78202</v>
      </c>
      <c r="F10" s="27">
        <f t="shared" si="2"/>
        <v>4242.3701626</v>
      </c>
      <c r="G10" s="27">
        <f t="shared" si="2"/>
        <v>4454.970796298</v>
      </c>
      <c r="H10" s="27">
        <f t="shared" si="2"/>
        <v>4674.80274429514</v>
      </c>
      <c r="I10" s="27">
        <f t="shared" si="2"/>
        <v>4902.09147897328</v>
      </c>
      <c r="J10" s="27">
        <f t="shared" si="2"/>
        <v>5137.06932221525</v>
      </c>
      <c r="K10" s="27">
        <f t="shared" si="2"/>
        <v>5379.97565174321</v>
      </c>
      <c r="L10" s="27">
        <f t="shared" si="2"/>
        <v>5631.05711365562</v>
      </c>
      <c r="M10" s="27">
        <f t="shared" si="2"/>
        <v>5890.56784134901</v>
      </c>
      <c r="N10" s="27">
        <f t="shared" si="2"/>
        <v>6158.76968101604</v>
      </c>
      <c r="O10" s="17"/>
      <c r="P10" s="17"/>
    </row>
    <row r="11" customHeight="1" spans="1:16">
      <c r="A11" s="11" t="s">
        <v>86</v>
      </c>
      <c r="B11" s="4">
        <v>0</v>
      </c>
      <c r="C11" s="14">
        <f>B21*Assumptions!$B$11/12</f>
        <v>50</v>
      </c>
      <c r="D11" s="14">
        <f>C21*Assumptions!$B$11/12</f>
        <v>47.5</v>
      </c>
      <c r="E11" s="14">
        <f>D21*Assumptions!$B$11/12</f>
        <v>45</v>
      </c>
      <c r="F11" s="14">
        <f>E21*Assumptions!$B$11/12</f>
        <v>42.5</v>
      </c>
      <c r="G11" s="14">
        <f>F21*Assumptions!$B$11/12</f>
        <v>40</v>
      </c>
      <c r="H11" s="14">
        <f>G21*Assumptions!$B$11/12</f>
        <v>37.5</v>
      </c>
      <c r="I11" s="14">
        <f>H21*Assumptions!$B$11/12</f>
        <v>35</v>
      </c>
      <c r="J11" s="14">
        <f>I21*Assumptions!$B$11/12</f>
        <v>32.5</v>
      </c>
      <c r="K11" s="14">
        <f>J21*Assumptions!$B$11/12</f>
        <v>30</v>
      </c>
      <c r="L11" s="14">
        <f>K21*Assumptions!$B$11/12</f>
        <v>27.5</v>
      </c>
      <c r="M11" s="14">
        <f>L21*Assumptions!$B$11/12</f>
        <v>25</v>
      </c>
      <c r="N11" s="14">
        <f>M21*Assumptions!$B$11/12</f>
        <v>22.5</v>
      </c>
      <c r="O11" s="17"/>
      <c r="P11" s="17"/>
    </row>
    <row r="12" customHeight="1" spans="1:16">
      <c r="A12" s="11" t="s">
        <v>87</v>
      </c>
      <c r="B12" s="14">
        <f t="shared" ref="B12:N12" si="3">B10-B11</f>
        <v>3900</v>
      </c>
      <c r="C12" s="14">
        <f t="shared" si="3"/>
        <v>3595.8</v>
      </c>
      <c r="D12" s="14">
        <f t="shared" si="3"/>
        <v>3790.494</v>
      </c>
      <c r="E12" s="14">
        <f t="shared" si="3"/>
        <v>3991.78202</v>
      </c>
      <c r="F12" s="14">
        <f t="shared" si="3"/>
        <v>4199.8701626</v>
      </c>
      <c r="G12" s="14">
        <f t="shared" si="3"/>
        <v>4414.970796298</v>
      </c>
      <c r="H12" s="14">
        <f t="shared" si="3"/>
        <v>4637.30274429514</v>
      </c>
      <c r="I12" s="14">
        <f t="shared" si="3"/>
        <v>4867.09147897328</v>
      </c>
      <c r="J12" s="14">
        <f t="shared" si="3"/>
        <v>5104.56932221525</v>
      </c>
      <c r="K12" s="14">
        <f t="shared" si="3"/>
        <v>5349.97565174321</v>
      </c>
      <c r="L12" s="14">
        <f t="shared" si="3"/>
        <v>5603.55711365562</v>
      </c>
      <c r="M12" s="14">
        <f t="shared" si="3"/>
        <v>5865.56784134901</v>
      </c>
      <c r="N12" s="14">
        <f t="shared" si="3"/>
        <v>6136.26968101604</v>
      </c>
      <c r="O12" s="17"/>
      <c r="P12" s="17"/>
    </row>
    <row r="13" customHeight="1" spans="1:16">
      <c r="A13" s="11" t="s">
        <v>88</v>
      </c>
      <c r="B13" s="4">
        <v>0</v>
      </c>
      <c r="C13" s="14">
        <f>MAX(0,C12)*Assumptions!$B$12</f>
        <v>719.16</v>
      </c>
      <c r="D13" s="14">
        <f>MAX(0,D12)*Assumptions!$B$12</f>
        <v>758.0988</v>
      </c>
      <c r="E13" s="14">
        <f>MAX(0,E12)*Assumptions!$B$12</f>
        <v>798.356404</v>
      </c>
      <c r="F13" s="14">
        <f>MAX(0,F12)*Assumptions!$B$12</f>
        <v>839.97403252</v>
      </c>
      <c r="G13" s="14">
        <f>MAX(0,G12)*Assumptions!$B$12</f>
        <v>882.9941592596</v>
      </c>
      <c r="H13" s="14">
        <f>MAX(0,H12)*Assumptions!$B$12</f>
        <v>927.460548859028</v>
      </c>
      <c r="I13" s="14">
        <f>MAX(0,I12)*Assumptions!$B$12</f>
        <v>973.418295794656</v>
      </c>
      <c r="J13" s="14">
        <f>MAX(0,J12)*Assumptions!$B$12</f>
        <v>1020.91386444305</v>
      </c>
      <c r="K13" s="14">
        <f>MAX(0,K12)*Assumptions!$B$12</f>
        <v>1069.99513034864</v>
      </c>
      <c r="L13" s="14">
        <f>MAX(0,L12)*Assumptions!$B$12</f>
        <v>1120.71142273112</v>
      </c>
      <c r="M13" s="14">
        <f>MAX(0,M12)*Assumptions!$B$12</f>
        <v>1173.1135682698</v>
      </c>
      <c r="N13" s="14">
        <f>MAX(0,N12)*Assumptions!$B$12</f>
        <v>1227.25393620321</v>
      </c>
      <c r="O13" s="17"/>
      <c r="P13" s="17"/>
    </row>
    <row r="14" customHeight="1" spans="1:16">
      <c r="A14" s="19" t="s">
        <v>8</v>
      </c>
      <c r="B14" s="32">
        <f t="shared" ref="B14:N14" si="4">B12-B13</f>
        <v>3900</v>
      </c>
      <c r="C14" s="32">
        <f t="shared" si="4"/>
        <v>2876.64</v>
      </c>
      <c r="D14" s="32">
        <f t="shared" si="4"/>
        <v>3032.3952</v>
      </c>
      <c r="E14" s="32">
        <f t="shared" si="4"/>
        <v>3193.425616</v>
      </c>
      <c r="F14" s="32">
        <f t="shared" si="4"/>
        <v>3359.89613008</v>
      </c>
      <c r="G14" s="32">
        <f t="shared" si="4"/>
        <v>3531.9766370384</v>
      </c>
      <c r="H14" s="32">
        <f t="shared" si="4"/>
        <v>3709.84219543611</v>
      </c>
      <c r="I14" s="32">
        <f t="shared" si="4"/>
        <v>3893.67318317862</v>
      </c>
      <c r="J14" s="32">
        <f t="shared" si="4"/>
        <v>4083.6554577722</v>
      </c>
      <c r="K14" s="32">
        <f t="shared" si="4"/>
        <v>4279.98052139457</v>
      </c>
      <c r="L14" s="32">
        <f t="shared" si="4"/>
        <v>4482.8456909245</v>
      </c>
      <c r="M14" s="32">
        <f t="shared" si="4"/>
        <v>4692.45427307921</v>
      </c>
      <c r="N14" s="32">
        <f t="shared" si="4"/>
        <v>4909.01574481283</v>
      </c>
      <c r="O14" s="17"/>
      <c r="P14" s="17"/>
    </row>
    <row r="15" ht="14.75" spans="1:1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7"/>
      <c r="P15" s="17"/>
    </row>
    <row r="16" customHeight="1" spans="1:16">
      <c r="A16" s="19" t="s">
        <v>11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7"/>
      <c r="P16" s="17"/>
    </row>
    <row r="17" customHeight="1" spans="1:16">
      <c r="A17" s="11" t="s">
        <v>89</v>
      </c>
      <c r="B17" s="21">
        <f>BS!E6</f>
        <v>24700</v>
      </c>
      <c r="C17" s="14">
        <f t="shared" ref="C17:N17" si="5">C34</f>
        <v>26382.1066666667</v>
      </c>
      <c r="D17" s="14">
        <f t="shared" si="5"/>
        <v>28837.6232</v>
      </c>
      <c r="E17" s="14">
        <f t="shared" si="5"/>
        <v>31451.7533626667</v>
      </c>
      <c r="F17" s="14">
        <f t="shared" si="5"/>
        <v>34229.86364488</v>
      </c>
      <c r="G17" s="14">
        <f t="shared" si="5"/>
        <v>37177.4882123731</v>
      </c>
      <c r="H17" s="14">
        <f t="shared" si="5"/>
        <v>40300.3340034724</v>
      </c>
      <c r="I17" s="14">
        <f t="shared" si="5"/>
        <v>43604.285979752</v>
      </c>
      <c r="J17" s="14">
        <f t="shared" si="5"/>
        <v>47095.4125348817</v>
      </c>
      <c r="K17" s="14">
        <f t="shared" si="5"/>
        <v>50779.9710664227</v>
      </c>
      <c r="L17" s="14">
        <f t="shared" si="5"/>
        <v>54664.4137154649</v>
      </c>
      <c r="M17" s="14">
        <f t="shared" si="5"/>
        <v>58755.3932791488</v>
      </c>
      <c r="N17" s="14">
        <f t="shared" si="5"/>
        <v>63059.7693012654</v>
      </c>
      <c r="O17" s="17"/>
      <c r="P17" s="17"/>
    </row>
    <row r="18" customHeight="1" spans="1:16">
      <c r="A18" s="11" t="s">
        <v>90</v>
      </c>
      <c r="B18" s="21">
        <f>BS!E7</f>
        <v>2000</v>
      </c>
      <c r="C18" s="14">
        <f>C6*Assumptions!$B$8/30</f>
        <v>2746.66666666667</v>
      </c>
      <c r="D18" s="14">
        <f>D6*Assumptions!$B$8/30</f>
        <v>2829.06666666667</v>
      </c>
      <c r="E18" s="14">
        <f>E6*Assumptions!$B$8/30</f>
        <v>2913.93866666667</v>
      </c>
      <c r="F18" s="14">
        <f>F6*Assumptions!$B$8/30</f>
        <v>3001.35682666667</v>
      </c>
      <c r="G18" s="14">
        <f>G6*Assumptions!$B$8/30</f>
        <v>3091.39753146667</v>
      </c>
      <c r="H18" s="14">
        <f>H6*Assumptions!$B$8/30</f>
        <v>3184.13945741067</v>
      </c>
      <c r="I18" s="14">
        <f>I6*Assumptions!$B$8/30</f>
        <v>3279.66364113299</v>
      </c>
      <c r="J18" s="14">
        <f>J6*Assumptions!$B$8/30</f>
        <v>3378.05355036698</v>
      </c>
      <c r="K18" s="14">
        <f>K6*Assumptions!$B$8/30</f>
        <v>3479.39515687799</v>
      </c>
      <c r="L18" s="14">
        <f>L6*Assumptions!$B$8/30</f>
        <v>3583.77701158433</v>
      </c>
      <c r="M18" s="14">
        <f>M6*Assumptions!$B$8/30</f>
        <v>3691.29032193186</v>
      </c>
      <c r="N18" s="14">
        <f>N6*Assumptions!$B$8/30</f>
        <v>3802.02903158981</v>
      </c>
      <c r="O18" s="17"/>
      <c r="P18" s="17"/>
    </row>
    <row r="19" customHeight="1" spans="1:16">
      <c r="A19" s="19" t="s">
        <v>15</v>
      </c>
      <c r="B19" s="27">
        <f t="shared" ref="B19:N19" si="6">B17+B18</f>
        <v>26700</v>
      </c>
      <c r="C19" s="27">
        <f t="shared" si="6"/>
        <v>29128.7733333333</v>
      </c>
      <c r="D19" s="27">
        <f t="shared" si="6"/>
        <v>31666.6898666667</v>
      </c>
      <c r="E19" s="27">
        <f t="shared" si="6"/>
        <v>34365.6920293333</v>
      </c>
      <c r="F19" s="27">
        <f t="shared" si="6"/>
        <v>37231.2204715467</v>
      </c>
      <c r="G19" s="27">
        <f t="shared" si="6"/>
        <v>40268.8857438397</v>
      </c>
      <c r="H19" s="27">
        <f t="shared" si="6"/>
        <v>43484.4734608831</v>
      </c>
      <c r="I19" s="27">
        <f t="shared" si="6"/>
        <v>46883.949620885</v>
      </c>
      <c r="J19" s="27">
        <f t="shared" si="6"/>
        <v>50473.4660852487</v>
      </c>
      <c r="K19" s="27">
        <f t="shared" si="6"/>
        <v>54259.3662233007</v>
      </c>
      <c r="L19" s="27">
        <f t="shared" si="6"/>
        <v>58248.1907270492</v>
      </c>
      <c r="M19" s="27">
        <f t="shared" si="6"/>
        <v>62446.6836010807</v>
      </c>
      <c r="N19" s="27">
        <f t="shared" si="6"/>
        <v>66861.7983328553</v>
      </c>
      <c r="O19" s="17"/>
      <c r="P19" s="17"/>
    </row>
    <row r="20" customHeight="1" spans="1:16">
      <c r="A20" s="11" t="s">
        <v>91</v>
      </c>
      <c r="B20" s="21">
        <f>BS!E11</f>
        <v>500</v>
      </c>
      <c r="C20" s="14">
        <f>C9*Assumptions!$B$9/30</f>
        <v>552.133333333333</v>
      </c>
      <c r="D20" s="14">
        <f>D9*Assumptions!$B$9/30</f>
        <v>557.654666666667</v>
      </c>
      <c r="E20" s="14">
        <f>E9*Assumptions!$B$9/30</f>
        <v>563.231213333333</v>
      </c>
      <c r="F20" s="14">
        <f>F9*Assumptions!$B$9/30</f>
        <v>568.863525466667</v>
      </c>
      <c r="G20" s="14">
        <f>G9*Assumptions!$B$9/30</f>
        <v>574.552160721333</v>
      </c>
      <c r="H20" s="14">
        <f>H9*Assumptions!$B$9/30</f>
        <v>580.297682328547</v>
      </c>
      <c r="I20" s="14">
        <f>I9*Assumptions!$B$9/30</f>
        <v>586.100659151832</v>
      </c>
      <c r="J20" s="14">
        <f>J9*Assumptions!$B$9/30</f>
        <v>591.961665743351</v>
      </c>
      <c r="K20" s="14">
        <f>K9*Assumptions!$B$9/30</f>
        <v>597.881282400784</v>
      </c>
      <c r="L20" s="14">
        <f>L9*Assumptions!$B$9/30</f>
        <v>603.860095224792</v>
      </c>
      <c r="M20" s="14">
        <f>M9*Assumptions!$B$9/30</f>
        <v>609.89869617704</v>
      </c>
      <c r="N20" s="14">
        <f>N9*Assumptions!$B$9/30</f>
        <v>615.99768313881</v>
      </c>
      <c r="O20" s="17"/>
      <c r="P20" s="17"/>
    </row>
    <row r="21" customHeight="1" spans="1:16">
      <c r="A21" s="11" t="s">
        <v>92</v>
      </c>
      <c r="B21" s="21">
        <f>BS!E12</f>
        <v>10000</v>
      </c>
      <c r="C21" s="14">
        <f>MAX(0,B21-Assumptions!$B$10)</f>
        <v>9500</v>
      </c>
      <c r="D21" s="14">
        <f>MAX(0,C21-Assumptions!$B$10)</f>
        <v>9000</v>
      </c>
      <c r="E21" s="14">
        <f>MAX(0,D21-Assumptions!$B$10)</f>
        <v>8500</v>
      </c>
      <c r="F21" s="14">
        <f>MAX(0,E21-Assumptions!$B$10)</f>
        <v>8000</v>
      </c>
      <c r="G21" s="14">
        <f>MAX(0,F21-Assumptions!$B$10)</f>
        <v>7500</v>
      </c>
      <c r="H21" s="14">
        <f>MAX(0,G21-Assumptions!$B$10)</f>
        <v>7000</v>
      </c>
      <c r="I21" s="14">
        <f>MAX(0,H21-Assumptions!$B$10)</f>
        <v>6500</v>
      </c>
      <c r="J21" s="14">
        <f>MAX(0,I21-Assumptions!$B$10)</f>
        <v>6000</v>
      </c>
      <c r="K21" s="14">
        <f>MAX(0,J21-Assumptions!$B$10)</f>
        <v>5500</v>
      </c>
      <c r="L21" s="14">
        <f>MAX(0,K21-Assumptions!$B$10)</f>
        <v>5000</v>
      </c>
      <c r="M21" s="14">
        <f>MAX(0,L21-Assumptions!$B$10)</f>
        <v>4500</v>
      </c>
      <c r="N21" s="14">
        <f>MAX(0,M21-Assumptions!$B$10)</f>
        <v>4000</v>
      </c>
      <c r="O21" s="17"/>
      <c r="P21" s="17"/>
    </row>
    <row r="22" customHeight="1" spans="1:16">
      <c r="A22" s="11" t="s">
        <v>93</v>
      </c>
      <c r="B22" s="21">
        <f>BS!E16</f>
        <v>16200</v>
      </c>
      <c r="C22" s="14">
        <f t="shared" ref="C22:N22" si="7">B22+C14</f>
        <v>19076.64</v>
      </c>
      <c r="D22" s="14">
        <f t="shared" si="7"/>
        <v>22109.0352</v>
      </c>
      <c r="E22" s="14">
        <f t="shared" si="7"/>
        <v>25302.460816</v>
      </c>
      <c r="F22" s="14">
        <f t="shared" si="7"/>
        <v>28662.35694608</v>
      </c>
      <c r="G22" s="14">
        <f t="shared" si="7"/>
        <v>32194.3335831184</v>
      </c>
      <c r="H22" s="14">
        <f t="shared" si="7"/>
        <v>35904.1757785545</v>
      </c>
      <c r="I22" s="14">
        <f t="shared" si="7"/>
        <v>39797.8489617331</v>
      </c>
      <c r="J22" s="14">
        <f t="shared" si="7"/>
        <v>43881.5044195053</v>
      </c>
      <c r="K22" s="14">
        <f t="shared" si="7"/>
        <v>48161.4849408999</v>
      </c>
      <c r="L22" s="14">
        <f t="shared" si="7"/>
        <v>52644.3306318244</v>
      </c>
      <c r="M22" s="14">
        <f t="shared" si="7"/>
        <v>57336.7849049036</v>
      </c>
      <c r="N22" s="14">
        <f t="shared" si="7"/>
        <v>62245.8006497164</v>
      </c>
      <c r="O22" s="17"/>
      <c r="P22" s="17"/>
    </row>
    <row r="23" customHeight="1" spans="1:16">
      <c r="A23" s="19" t="s">
        <v>23</v>
      </c>
      <c r="B23" s="27">
        <f t="shared" ref="B23:N23" si="8">B20+B21+B22</f>
        <v>26700</v>
      </c>
      <c r="C23" s="27">
        <f t="shared" si="8"/>
        <v>29128.7733333333</v>
      </c>
      <c r="D23" s="27">
        <f t="shared" si="8"/>
        <v>31666.6898666667</v>
      </c>
      <c r="E23" s="27">
        <f t="shared" si="8"/>
        <v>34365.6920293333</v>
      </c>
      <c r="F23" s="27">
        <f t="shared" si="8"/>
        <v>37231.2204715467</v>
      </c>
      <c r="G23" s="27">
        <f t="shared" si="8"/>
        <v>40268.8857438397</v>
      </c>
      <c r="H23" s="27">
        <f t="shared" si="8"/>
        <v>43484.4734608831</v>
      </c>
      <c r="I23" s="27">
        <f t="shared" si="8"/>
        <v>46883.949620885</v>
      </c>
      <c r="J23" s="27">
        <f t="shared" si="8"/>
        <v>50473.4660852487</v>
      </c>
      <c r="K23" s="27">
        <f t="shared" si="8"/>
        <v>54259.3662233007</v>
      </c>
      <c r="L23" s="27">
        <f t="shared" si="8"/>
        <v>58248.1907270492</v>
      </c>
      <c r="M23" s="27">
        <f t="shared" si="8"/>
        <v>62446.6836010807</v>
      </c>
      <c r="N23" s="27">
        <f t="shared" si="8"/>
        <v>66861.7983328553</v>
      </c>
      <c r="O23" s="17"/>
      <c r="P23" s="17"/>
    </row>
    <row r="24" customHeight="1" spans="1:16">
      <c r="A24" s="19" t="s">
        <v>24</v>
      </c>
      <c r="B24" s="25">
        <f t="shared" ref="B24:N24" si="9">ROUND(B19-B23,2)</f>
        <v>0</v>
      </c>
      <c r="C24" s="25">
        <f t="shared" si="9"/>
        <v>0</v>
      </c>
      <c r="D24" s="25">
        <f t="shared" si="9"/>
        <v>0</v>
      </c>
      <c r="E24" s="25">
        <f t="shared" si="9"/>
        <v>0</v>
      </c>
      <c r="F24" s="25">
        <f t="shared" si="9"/>
        <v>0</v>
      </c>
      <c r="G24" s="25">
        <f t="shared" si="9"/>
        <v>0</v>
      </c>
      <c r="H24" s="25">
        <f t="shared" si="9"/>
        <v>0</v>
      </c>
      <c r="I24" s="25">
        <f t="shared" si="9"/>
        <v>0</v>
      </c>
      <c r="J24" s="25">
        <f t="shared" si="9"/>
        <v>0</v>
      </c>
      <c r="K24" s="25">
        <f t="shared" si="9"/>
        <v>0</v>
      </c>
      <c r="L24" s="25">
        <f t="shared" si="9"/>
        <v>0</v>
      </c>
      <c r="M24" s="25">
        <f t="shared" si="9"/>
        <v>0</v>
      </c>
      <c r="N24" s="25">
        <f t="shared" si="9"/>
        <v>0</v>
      </c>
      <c r="O24" s="17"/>
      <c r="P24" s="17"/>
    </row>
    <row r="25" ht="15.75" customHeight="1" spans="1:1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7"/>
      <c r="P25" s="17"/>
    </row>
    <row r="26" customHeight="1" spans="1:16">
      <c r="A26" s="19" t="s">
        <v>29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17"/>
      <c r="P26" s="17"/>
    </row>
    <row r="27" customHeight="1" spans="1:16">
      <c r="A27" s="11" t="s">
        <v>8</v>
      </c>
      <c r="B27" s="6"/>
      <c r="C27" s="14">
        <f t="shared" ref="C27:N27" si="10">C14</f>
        <v>2876.64</v>
      </c>
      <c r="D27" s="14">
        <f t="shared" si="10"/>
        <v>3032.3952</v>
      </c>
      <c r="E27" s="14">
        <f t="shared" si="10"/>
        <v>3193.425616</v>
      </c>
      <c r="F27" s="14">
        <f t="shared" si="10"/>
        <v>3359.89613008</v>
      </c>
      <c r="G27" s="14">
        <f t="shared" si="10"/>
        <v>3531.9766370384</v>
      </c>
      <c r="H27" s="14">
        <f t="shared" si="10"/>
        <v>3709.84219543611</v>
      </c>
      <c r="I27" s="14">
        <f t="shared" si="10"/>
        <v>3893.67318317862</v>
      </c>
      <c r="J27" s="14">
        <f t="shared" si="10"/>
        <v>4083.6554577722</v>
      </c>
      <c r="K27" s="14">
        <f t="shared" si="10"/>
        <v>4279.98052139457</v>
      </c>
      <c r="L27" s="14">
        <f t="shared" si="10"/>
        <v>4482.8456909245</v>
      </c>
      <c r="M27" s="14">
        <f t="shared" si="10"/>
        <v>4692.45427307921</v>
      </c>
      <c r="N27" s="14">
        <f t="shared" si="10"/>
        <v>4909.01574481283</v>
      </c>
      <c r="O27" s="17"/>
      <c r="P27" s="17"/>
    </row>
    <row r="28" customHeight="1" spans="1:16">
      <c r="A28" s="11" t="s">
        <v>31</v>
      </c>
      <c r="B28" s="6"/>
      <c r="C28" s="14">
        <f t="shared" ref="C28:N28" si="11">-(C18-B18)</f>
        <v>-746.666666666667</v>
      </c>
      <c r="D28" s="14">
        <f t="shared" si="11"/>
        <v>-82.4000000000001</v>
      </c>
      <c r="E28" s="14">
        <f t="shared" si="11"/>
        <v>-84.8720000000003</v>
      </c>
      <c r="F28" s="14">
        <f t="shared" si="11"/>
        <v>-87.4181600000002</v>
      </c>
      <c r="G28" s="14">
        <f t="shared" si="11"/>
        <v>-90.0407048000002</v>
      </c>
      <c r="H28" s="14">
        <f t="shared" si="11"/>
        <v>-92.7419259439998</v>
      </c>
      <c r="I28" s="14">
        <f t="shared" si="11"/>
        <v>-95.5241837223202</v>
      </c>
      <c r="J28" s="14">
        <f t="shared" si="11"/>
        <v>-98.3899092339893</v>
      </c>
      <c r="K28" s="14">
        <f t="shared" si="11"/>
        <v>-101.34160651101</v>
      </c>
      <c r="L28" s="14">
        <f t="shared" si="11"/>
        <v>-104.381854706339</v>
      </c>
      <c r="M28" s="14">
        <f t="shared" si="11"/>
        <v>-107.51331034753</v>
      </c>
      <c r="N28" s="14">
        <f t="shared" si="11"/>
        <v>-110.738709657956</v>
      </c>
      <c r="O28" s="17"/>
      <c r="P28" s="17"/>
    </row>
    <row r="29" customHeight="1" spans="1:16">
      <c r="A29" s="11" t="s">
        <v>32</v>
      </c>
      <c r="B29" s="6"/>
      <c r="C29" s="14">
        <f t="shared" ref="C29:N29" si="12">C20-B20</f>
        <v>52.1333333333333</v>
      </c>
      <c r="D29" s="14">
        <f t="shared" si="12"/>
        <v>5.52133333333336</v>
      </c>
      <c r="E29" s="14">
        <f t="shared" si="12"/>
        <v>5.57654666666656</v>
      </c>
      <c r="F29" s="14">
        <f t="shared" si="12"/>
        <v>5.63231213333336</v>
      </c>
      <c r="G29" s="14">
        <f t="shared" si="12"/>
        <v>5.68863525466679</v>
      </c>
      <c r="H29" s="14">
        <f t="shared" si="12"/>
        <v>5.74552160721328</v>
      </c>
      <c r="I29" s="14">
        <f t="shared" si="12"/>
        <v>5.80297682328558</v>
      </c>
      <c r="J29" s="14">
        <f t="shared" si="12"/>
        <v>5.86100659151828</v>
      </c>
      <c r="K29" s="14">
        <f t="shared" si="12"/>
        <v>5.91961665743349</v>
      </c>
      <c r="L29" s="14">
        <f t="shared" si="12"/>
        <v>5.97881282400795</v>
      </c>
      <c r="M29" s="14">
        <f t="shared" si="12"/>
        <v>6.03860095224798</v>
      </c>
      <c r="N29" s="14">
        <f t="shared" si="12"/>
        <v>6.09898696177038</v>
      </c>
      <c r="O29" s="17"/>
      <c r="P29" s="17"/>
    </row>
    <row r="30" customHeight="1" spans="1:16">
      <c r="A30" s="19" t="s">
        <v>33</v>
      </c>
      <c r="B30" s="6"/>
      <c r="C30" s="27">
        <f t="shared" ref="C30:N30" si="13">SUM(C27:C29)</f>
        <v>2182.10666666667</v>
      </c>
      <c r="D30" s="27">
        <f t="shared" si="13"/>
        <v>2955.51653333333</v>
      </c>
      <c r="E30" s="27">
        <f t="shared" si="13"/>
        <v>3114.13016266667</v>
      </c>
      <c r="F30" s="27">
        <f t="shared" si="13"/>
        <v>3278.11028221333</v>
      </c>
      <c r="G30" s="27">
        <f t="shared" si="13"/>
        <v>3447.62456749307</v>
      </c>
      <c r="H30" s="27">
        <f t="shared" si="13"/>
        <v>3622.84579109933</v>
      </c>
      <c r="I30" s="27">
        <f t="shared" si="13"/>
        <v>3803.95197627959</v>
      </c>
      <c r="J30" s="27">
        <f t="shared" si="13"/>
        <v>3991.12655512973</v>
      </c>
      <c r="K30" s="27">
        <f t="shared" si="13"/>
        <v>4184.55853154099</v>
      </c>
      <c r="L30" s="27">
        <f t="shared" si="13"/>
        <v>4384.44264904217</v>
      </c>
      <c r="M30" s="27">
        <f t="shared" si="13"/>
        <v>4590.97956368393</v>
      </c>
      <c r="N30" s="27">
        <f t="shared" si="13"/>
        <v>4804.37602211664</v>
      </c>
      <c r="O30" s="17"/>
      <c r="P30" s="17"/>
    </row>
    <row r="31" customHeight="1" spans="1:16">
      <c r="A31" s="11" t="s">
        <v>35</v>
      </c>
      <c r="B31" s="6"/>
      <c r="C31" s="14">
        <f t="shared" ref="C31:N31" si="14">C21-B21</f>
        <v>-500</v>
      </c>
      <c r="D31" s="14">
        <f t="shared" si="14"/>
        <v>-500</v>
      </c>
      <c r="E31" s="14">
        <f t="shared" si="14"/>
        <v>-500</v>
      </c>
      <c r="F31" s="14">
        <f t="shared" si="14"/>
        <v>-500</v>
      </c>
      <c r="G31" s="14">
        <f t="shared" si="14"/>
        <v>-500</v>
      </c>
      <c r="H31" s="14">
        <f t="shared" si="14"/>
        <v>-500</v>
      </c>
      <c r="I31" s="14">
        <f t="shared" si="14"/>
        <v>-500</v>
      </c>
      <c r="J31" s="14">
        <f t="shared" si="14"/>
        <v>-500</v>
      </c>
      <c r="K31" s="14">
        <f t="shared" si="14"/>
        <v>-500</v>
      </c>
      <c r="L31" s="14">
        <f t="shared" si="14"/>
        <v>-500</v>
      </c>
      <c r="M31" s="14">
        <f t="shared" si="14"/>
        <v>-500</v>
      </c>
      <c r="N31" s="14">
        <f t="shared" si="14"/>
        <v>-500</v>
      </c>
      <c r="O31" s="17"/>
      <c r="P31" s="17"/>
    </row>
    <row r="32" customHeight="1" spans="1:16">
      <c r="A32" s="19" t="s">
        <v>37</v>
      </c>
      <c r="B32" s="6"/>
      <c r="C32" s="27">
        <f t="shared" ref="C32:N32" si="15">C30+C31</f>
        <v>1682.10666666667</v>
      </c>
      <c r="D32" s="27">
        <f t="shared" si="15"/>
        <v>2455.51653333333</v>
      </c>
      <c r="E32" s="27">
        <f t="shared" si="15"/>
        <v>2614.13016266667</v>
      </c>
      <c r="F32" s="27">
        <f t="shared" si="15"/>
        <v>2778.11028221333</v>
      </c>
      <c r="G32" s="27">
        <f t="shared" si="15"/>
        <v>2947.62456749307</v>
      </c>
      <c r="H32" s="27">
        <f t="shared" si="15"/>
        <v>3122.84579109933</v>
      </c>
      <c r="I32" s="27">
        <f t="shared" si="15"/>
        <v>3303.95197627959</v>
      </c>
      <c r="J32" s="27">
        <f t="shared" si="15"/>
        <v>3491.12655512973</v>
      </c>
      <c r="K32" s="27">
        <f t="shared" si="15"/>
        <v>3684.55853154099</v>
      </c>
      <c r="L32" s="27">
        <f t="shared" si="15"/>
        <v>3884.44264904217</v>
      </c>
      <c r="M32" s="27">
        <f t="shared" si="15"/>
        <v>4090.97956368393</v>
      </c>
      <c r="N32" s="27">
        <f t="shared" si="15"/>
        <v>4304.37602211664</v>
      </c>
      <c r="O32" s="17"/>
      <c r="P32" s="17"/>
    </row>
    <row r="33" customHeight="1" spans="1:16">
      <c r="A33" s="11" t="s">
        <v>38</v>
      </c>
      <c r="B33" s="6"/>
      <c r="C33" s="14">
        <f t="shared" ref="C33:N33" si="16">B34</f>
        <v>24700</v>
      </c>
      <c r="D33" s="14">
        <f t="shared" si="16"/>
        <v>26382.1066666667</v>
      </c>
      <c r="E33" s="14">
        <f t="shared" si="16"/>
        <v>28837.6232</v>
      </c>
      <c r="F33" s="14">
        <f t="shared" si="16"/>
        <v>31451.7533626667</v>
      </c>
      <c r="G33" s="14">
        <f t="shared" si="16"/>
        <v>34229.86364488</v>
      </c>
      <c r="H33" s="14">
        <f t="shared" si="16"/>
        <v>37177.4882123731</v>
      </c>
      <c r="I33" s="14">
        <f t="shared" si="16"/>
        <v>40300.3340034724</v>
      </c>
      <c r="J33" s="14">
        <f t="shared" si="16"/>
        <v>43604.285979752</v>
      </c>
      <c r="K33" s="14">
        <f t="shared" si="16"/>
        <v>47095.4125348817</v>
      </c>
      <c r="L33" s="14">
        <f t="shared" si="16"/>
        <v>50779.9710664227</v>
      </c>
      <c r="M33" s="14">
        <f t="shared" si="16"/>
        <v>54664.4137154649</v>
      </c>
      <c r="N33" s="14">
        <f t="shared" si="16"/>
        <v>58755.3932791488</v>
      </c>
      <c r="O33" s="17"/>
      <c r="P33" s="17"/>
    </row>
    <row r="34" customHeight="1" spans="1:16">
      <c r="A34" s="19" t="s">
        <v>39</v>
      </c>
      <c r="B34" s="40">
        <f>BS!E6</f>
        <v>24700</v>
      </c>
      <c r="C34" s="32">
        <f t="shared" ref="C34:N34" si="17">C33+C32</f>
        <v>26382.1066666667</v>
      </c>
      <c r="D34" s="32">
        <f t="shared" si="17"/>
        <v>28837.6232</v>
      </c>
      <c r="E34" s="32">
        <f t="shared" si="17"/>
        <v>31451.7533626667</v>
      </c>
      <c r="F34" s="32">
        <f t="shared" si="17"/>
        <v>34229.86364488</v>
      </c>
      <c r="G34" s="32">
        <f t="shared" si="17"/>
        <v>37177.4882123731</v>
      </c>
      <c r="H34" s="32">
        <f t="shared" si="17"/>
        <v>40300.3340034724</v>
      </c>
      <c r="I34" s="32">
        <f t="shared" si="17"/>
        <v>43604.285979752</v>
      </c>
      <c r="J34" s="32">
        <f t="shared" si="17"/>
        <v>47095.4125348817</v>
      </c>
      <c r="K34" s="32">
        <f t="shared" si="17"/>
        <v>50779.9710664227</v>
      </c>
      <c r="L34" s="32">
        <f t="shared" si="17"/>
        <v>54664.4137154649</v>
      </c>
      <c r="M34" s="32">
        <f t="shared" si="17"/>
        <v>58755.3932791488</v>
      </c>
      <c r="N34" s="32">
        <f t="shared" si="17"/>
        <v>63059.7693012654</v>
      </c>
      <c r="O34" s="17"/>
      <c r="P34" s="17"/>
    </row>
    <row r="35" ht="15.75" customHeight="1" spans="1:1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17"/>
      <c r="P35" s="17"/>
    </row>
    <row r="36" customHeight="1" spans="1:16">
      <c r="A36" s="11" t="s">
        <v>94</v>
      </c>
      <c r="B36" s="26">
        <f t="shared" ref="B36:N36" si="18">IF(B6=0,0,B8/B6)</f>
        <v>1</v>
      </c>
      <c r="C36" s="26">
        <f t="shared" si="18"/>
        <v>0.945</v>
      </c>
      <c r="D36" s="26">
        <f t="shared" si="18"/>
        <v>0.945</v>
      </c>
      <c r="E36" s="26">
        <f t="shared" si="18"/>
        <v>0.945</v>
      </c>
      <c r="F36" s="26">
        <f t="shared" si="18"/>
        <v>0.945</v>
      </c>
      <c r="G36" s="26">
        <f t="shared" si="18"/>
        <v>0.945</v>
      </c>
      <c r="H36" s="26">
        <f t="shared" si="18"/>
        <v>0.945</v>
      </c>
      <c r="I36" s="26">
        <f t="shared" si="18"/>
        <v>0.945</v>
      </c>
      <c r="J36" s="26">
        <f t="shared" si="18"/>
        <v>0.945</v>
      </c>
      <c r="K36" s="26">
        <f t="shared" si="18"/>
        <v>0.945</v>
      </c>
      <c r="L36" s="26">
        <f t="shared" si="18"/>
        <v>0.945</v>
      </c>
      <c r="M36" s="26">
        <f t="shared" si="18"/>
        <v>0.945</v>
      </c>
      <c r="N36" s="26">
        <f t="shared" si="18"/>
        <v>0.945</v>
      </c>
      <c r="O36" s="17"/>
      <c r="P36" s="17"/>
    </row>
    <row r="37" customHeight="1" spans="1:16">
      <c r="A37" s="11" t="s">
        <v>95</v>
      </c>
      <c r="B37" s="26">
        <f t="shared" ref="B37:N37" si="19">IF(B6=0,0,B14/B6)</f>
        <v>0.4875</v>
      </c>
      <c r="C37" s="26">
        <f t="shared" si="19"/>
        <v>0.349106796116505</v>
      </c>
      <c r="D37" s="26">
        <f t="shared" si="19"/>
        <v>0.357290413799604</v>
      </c>
      <c r="E37" s="26">
        <f t="shared" si="19"/>
        <v>0.365304602155891</v>
      </c>
      <c r="F37" s="26">
        <f t="shared" si="19"/>
        <v>0.373153024239766</v>
      </c>
      <c r="G37" s="26">
        <f t="shared" si="19"/>
        <v>0.38083925916862</v>
      </c>
      <c r="H37" s="26">
        <f t="shared" si="19"/>
        <v>0.388366804182309</v>
      </c>
      <c r="I37" s="26">
        <f t="shared" si="19"/>
        <v>0.395739076648474</v>
      </c>
      <c r="J37" s="26">
        <f t="shared" si="19"/>
        <v>0.402959416015234</v>
      </c>
      <c r="K37" s="26">
        <f t="shared" si="19"/>
        <v>0.4100310857127</v>
      </c>
      <c r="L37" s="26">
        <f t="shared" si="19"/>
        <v>0.416957275004741</v>
      </c>
      <c r="M37" s="26">
        <f t="shared" si="19"/>
        <v>0.4237411007924</v>
      </c>
      <c r="N37" s="26">
        <f t="shared" si="19"/>
        <v>0.43038560937028</v>
      </c>
      <c r="O37" s="17"/>
      <c r="P37" s="17"/>
    </row>
    <row r="38" ht="15.75" customHeight="1" spans="1:1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17"/>
      <c r="P38" s="17"/>
    </row>
    <row r="39" customHeight="1" spans="1:16">
      <c r="A39" s="18" t="s">
        <v>96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17"/>
      <c r="P39" s="17"/>
    </row>
    <row r="40" ht="15.75" customHeight="1" spans="1:1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17"/>
      <c r="P40" s="17"/>
    </row>
    <row r="41" ht="15.75" customHeight="1" spans="1:1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17"/>
      <c r="P41" s="17"/>
    </row>
    <row r="42" ht="15.75" customHeight="1" spans="1:1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17"/>
      <c r="P42" s="17"/>
    </row>
    <row r="43" ht="15.75" customHeight="1" spans="1:1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17"/>
      <c r="P43" s="17"/>
    </row>
    <row r="44" ht="15.75" customHeight="1" spans="1:1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17"/>
      <c r="P44" s="17"/>
    </row>
    <row r="45" ht="15.75" customHeight="1" spans="1:1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17"/>
      <c r="P45" s="17"/>
    </row>
    <row r="46" ht="15.75" customHeight="1" spans="1:1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17"/>
      <c r="P46" s="17"/>
    </row>
    <row r="47" ht="15.75" customHeight="1" spans="1:1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17"/>
      <c r="P47" s="17"/>
    </row>
    <row r="48" ht="15.75" customHeight="1" spans="1:1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ht="15.75" customHeight="1" spans="1:1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ht="15.75" customHeight="1" spans="1:1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ht="15.75" customHeight="1" spans="1:1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ht="15.75" customHeight="1" spans="1:1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ht="15.75" customHeight="1" spans="1:1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ht="15.75" customHeight="1" spans="1:1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ht="15.75" customHeight="1" spans="1:1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ht="15.75" customHeight="1" spans="1:1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ht="15.75" customHeight="1" spans="1:1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ht="15.75" customHeight="1" spans="1:1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ht="15.75" customHeight="1" spans="1:1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ht="15.75" customHeight="1" spans="1:1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ht="15.75" customHeight="1" spans="1:1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ht="15.75" customHeight="1" spans="1:1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ht="15.75" customHeight="1" spans="1:1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ht="15.75" customHeight="1" spans="1:1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ht="15.75" customHeight="1" spans="1:1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ht="15.75" customHeight="1" spans="1:1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ht="15.75" customHeight="1" spans="1:1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ht="15.75" customHeight="1" spans="1:1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ht="15.75" customHeight="1" spans="1:1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ht="15.75" customHeight="1" spans="1:1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ht="15.75" customHeight="1" spans="1:1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ht="15.75" customHeight="1" spans="1:1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ht="15.75" customHeight="1" spans="1:1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ht="15.75" customHeight="1" spans="1:1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ht="15.75" customHeight="1" spans="1:1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ht="15.75" customHeight="1" spans="1:1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ht="15.75" customHeight="1" spans="1:1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ht="15.75" customHeight="1" spans="1:1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ht="15.75" customHeight="1" spans="1:1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ht="15.75" customHeight="1" spans="1:1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ht="15.75" customHeight="1" spans="1:1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ht="15.75" customHeight="1" spans="1:1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ht="15.75" customHeight="1" spans="1:1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ht="15.75" customHeight="1" spans="1:1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ht="15.75" customHeight="1" spans="1:1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ht="15.75" customHeight="1" spans="1:1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ht="15.75" customHeight="1" spans="1:1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ht="15.75" customHeight="1" spans="1:1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ht="15.75" customHeight="1" spans="1:1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ht="15.75" customHeight="1" spans="1:1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ht="15.75" customHeight="1" spans="1:1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ht="15.75" customHeight="1" spans="1:1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ht="15.75" customHeight="1" spans="1:1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ht="15.75" customHeight="1" spans="1:1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ht="15.75" customHeight="1" spans="1:1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ht="15.75" customHeight="1" spans="1:1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ht="15.75" customHeight="1" spans="1:1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ht="15.75" customHeight="1" spans="1:1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ht="15.75" customHeight="1" spans="1:1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ht="15.75" customHeight="1" spans="1:1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ht="15.75" customHeight="1" spans="1:1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ht="15.75" customHeight="1" spans="1:1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ht="15.75" customHeight="1" spans="1:1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ht="15.75" customHeight="1" spans="1:1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ht="15.75" customHeight="1" spans="1:1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ht="15.75" customHeight="1" spans="1:1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ht="15.75" customHeight="1" spans="1:1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ht="15.75" customHeight="1" spans="1:1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ht="15.75" customHeight="1" spans="1:1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ht="15.75" customHeight="1" spans="1:1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ht="15.75" customHeight="1" spans="1:1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ht="15.75" customHeight="1" spans="1:1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ht="15.75" customHeight="1" spans="1:1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ht="15.75" customHeight="1" spans="1: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ht="15.75" customHeight="1" spans="1:1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ht="15.75" customHeight="1" spans="1:1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ht="15.75" customHeight="1" spans="1:1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ht="15.75" customHeight="1" spans="1:1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ht="15.75" customHeight="1" spans="1:1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ht="15.75" customHeight="1" spans="1:1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ht="15.75" customHeight="1" spans="1:1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ht="15.75" customHeight="1" spans="1:1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ht="15.75" customHeight="1" spans="1:1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ht="15.75" customHeight="1" spans="1:1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ht="15.75" customHeight="1" spans="1:1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ht="15.75" customHeight="1" spans="1:1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ht="15.75" customHeight="1" spans="1:1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ht="15.75" customHeight="1" spans="1:1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ht="15.75" customHeight="1" spans="1:1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ht="15.75" customHeight="1" spans="1:1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ht="15.75" customHeight="1" spans="1:1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ht="15.75" customHeight="1" spans="1:1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ht="15.75" customHeight="1" spans="1:1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ht="15.75" customHeight="1" spans="1:1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ht="15.75" customHeight="1" spans="1:1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ht="15.75" customHeight="1" spans="1:1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ht="15.75" customHeight="1" spans="1:1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ht="15.75" customHeight="1" spans="1:1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ht="15.75" customHeight="1" spans="1:1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ht="15.75" customHeight="1" spans="1:1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ht="15.75" customHeight="1" spans="1:1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ht="15.75" customHeight="1" spans="1:1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ht="15.75" customHeight="1" spans="1:1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ht="15.75" customHeight="1" spans="1:1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ht="15.75" customHeight="1" spans="1:1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ht="15.75" customHeight="1" spans="1:1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ht="15.75" customHeight="1" spans="1:1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ht="15.75" customHeight="1" spans="1:1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ht="15.75" customHeight="1" spans="1:1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ht="15.75" customHeight="1" spans="1:1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ht="15.75" customHeight="1" spans="1:1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ht="15.75" customHeight="1" spans="1:1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ht="15.75" customHeight="1" spans="1:1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ht="15.75" customHeight="1" spans="1:1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ht="15.75" customHeight="1" spans="1:1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ht="15.75" customHeight="1" spans="1:1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ht="15.75" customHeight="1" spans="1:1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ht="15.75" customHeight="1" spans="1:1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ht="15.75" customHeight="1" spans="1:1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ht="15.75" customHeight="1" spans="1:1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ht="15.75" customHeight="1" spans="1:1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ht="15.75" customHeight="1" spans="1:1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ht="15.75" customHeight="1" spans="1:1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ht="15.75" customHeight="1" spans="1:1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ht="15.75" customHeight="1" spans="1:1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ht="15.75" customHeight="1" spans="1:1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ht="15.75" customHeight="1" spans="1:1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ht="15.75" customHeight="1" spans="1:1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ht="15.75" customHeight="1" spans="1:1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ht="15.75" customHeight="1" spans="1:1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ht="15.75" customHeight="1" spans="1:1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ht="15.75" customHeight="1" spans="1:1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ht="15.75" customHeight="1" spans="1:1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ht="15.75" customHeight="1" spans="1:1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ht="15.75" customHeight="1" spans="1:1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ht="15.75" customHeight="1" spans="1:1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ht="15.75" customHeight="1" spans="1:1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ht="15.75" customHeight="1" spans="1:1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ht="15.75" customHeight="1" spans="1:1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ht="15.75" customHeight="1" spans="1:1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ht="15.75" customHeight="1" spans="1:1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ht="15.75" customHeight="1" spans="1:1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ht="15.75" customHeight="1" spans="1:1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ht="15.75" customHeight="1" spans="1:1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ht="15.75" customHeight="1" spans="1:1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ht="15.75" customHeight="1" spans="1:1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ht="15.75" customHeight="1" spans="1:1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ht="15.75" customHeight="1" spans="1:1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ht="15.75" customHeight="1" spans="1:1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ht="15.75" customHeight="1" spans="1:1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ht="15.75" customHeight="1" spans="1:1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ht="15.75" customHeight="1" spans="1:1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ht="15.75" customHeight="1" spans="1:1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ht="15.75" customHeight="1" spans="1:1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ht="15.75" customHeight="1" spans="1:1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ht="15.75" customHeight="1" spans="1:1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ht="15.75" customHeight="1" spans="1:1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ht="15.75" customHeight="1" spans="1:1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ht="15.75" customHeight="1" spans="1:1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ht="15.75" customHeight="1" spans="1:1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ht="15.75" customHeight="1" spans="1:14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ht="15.75" customHeight="1" spans="1:14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ht="15.75" customHeight="1" spans="1:14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ht="15.75" customHeight="1" spans="1:1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ht="15.75" customHeight="1" spans="1:14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ht="15.75" customHeight="1" spans="1:14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ht="15.75" customHeight="1" spans="1:14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ht="15.75" customHeight="1" spans="1:14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ht="15.75" customHeight="1" spans="1:14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ht="15.75" customHeight="1" spans="1:14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ht="15.75" customHeight="1" spans="1:14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ht="15.75" customHeight="1" spans="1:14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ht="15.75" customHeight="1" spans="1:14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ht="15.75" customHeight="1" spans="1: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ht="15.75" customHeight="1" spans="1:14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ht="15.75" customHeight="1" spans="1:14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ht="15.75" customHeight="1" spans="1:14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ht="15.75" customHeight="1" spans="1:14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ht="15.75" customHeight="1" spans="1:14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ht="15.75" customHeight="1" spans="1:14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ht="15.75" customHeight="1" spans="1:14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 ht="15.75" customHeight="1" spans="1:14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 ht="15.75" customHeight="1" spans="1:14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ht="15.75" customHeight="1" spans="1:1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</row>
    <row r="225" ht="15.75" customHeight="1" spans="1:14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ht="15.75" customHeight="1" spans="1:14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 ht="15.75" customHeight="1" spans="1:14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ht="15.75" customHeight="1" spans="1:14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ht="15.75" customHeight="1" spans="1:14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ht="15.75" customHeight="1" spans="1:14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ht="15.75" customHeight="1" spans="1:14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ht="15.75" customHeight="1" spans="1:14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 ht="15.75" customHeight="1" spans="1:14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 ht="15.75" customHeight="1" spans="1:1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ht="15.75" customHeight="1" spans="1:14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ht="15.75" customHeight="1" spans="1:14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</row>
    <row r="237" ht="15.75" customHeight="1" spans="1:14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</row>
    <row r="238" ht="15.75" customHeight="1" spans="1:14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ht="15.75" customHeight="1" spans="1:14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 ht="15.75" customHeight="1" spans="1:14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ht="15.75" customHeight="1" spans="1:14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ht="15.75" customHeight="1" spans="1:14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ht="15.75" customHeight="1" spans="1:14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</row>
    <row r="244" ht="15.75" customHeight="1" spans="1:1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 ht="15.75" customHeight="1" spans="1:14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ht="15.75" customHeight="1" spans="1:14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</row>
    <row r="247" ht="15.75" customHeight="1" spans="1:14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 ht="15.75" customHeight="1" spans="1:14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 ht="15.75" customHeight="1" spans="1:14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</row>
    <row r="250" ht="15.75" customHeight="1" spans="1:14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</row>
    <row r="251" ht="15.75" customHeight="1" spans="1:14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ht="15.75" customHeight="1" spans="1:14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 ht="15.75" customHeight="1" spans="1:14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</row>
    <row r="254" ht="15.75" customHeight="1" spans="1:1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 ht="15.75" customHeight="1" spans="1:14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 ht="15.75" customHeight="1" spans="1:14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</row>
    <row r="257" ht="15.75" customHeight="1" spans="1:14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</row>
    <row r="258" ht="15.75" customHeight="1" spans="1:14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ht="15.75" customHeight="1" spans="1:14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</row>
    <row r="260" ht="15.75" customHeight="1" spans="1:14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</row>
    <row r="261" ht="15.75" customHeight="1" spans="1:14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 ht="15.75" customHeight="1" spans="1:14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ht="15.75" customHeight="1" spans="1:14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</row>
    <row r="264" ht="15.75" customHeight="1" spans="1:1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ht="15.75" customHeight="1" spans="1:14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 ht="15.75" customHeight="1" spans="1:14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ht="15.75" customHeight="1" spans="1:14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 ht="15.75" customHeight="1" spans="1:14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 ht="15.75" customHeight="1" spans="1:14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 ht="15.75" customHeight="1" spans="1:14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ht="15.75" customHeight="1" spans="1:14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 ht="15.75" customHeight="1" spans="1:14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 ht="15.75" customHeight="1" spans="1:14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ht="15.75" customHeight="1" spans="1:1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ht="15.75" customHeight="1" spans="1:14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 ht="15.75" customHeight="1" spans="1:14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 ht="15.75" customHeight="1" spans="1:14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 ht="15.75" customHeight="1" spans="1:14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 ht="15.75" customHeight="1" spans="1:14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 ht="15.75" customHeight="1" spans="1:14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 ht="15.75" customHeight="1" spans="1:14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 ht="15.75" customHeight="1" spans="1:14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 ht="15.75" customHeight="1" spans="1:14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ht="15.75" customHeight="1" spans="1:1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 ht="15.75" customHeight="1" spans="1:14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ht="15.75" customHeight="1" spans="1:14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 ht="15.75" customHeight="1" spans="1:14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ht="15.75" customHeight="1" spans="1:14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</row>
    <row r="289" ht="15.75" customHeight="1" spans="1:14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ht="15.75" customHeight="1" spans="1:14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</row>
    <row r="291" ht="15.75" customHeight="1" spans="1:14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</row>
    <row r="292" ht="15.75" customHeight="1" spans="1:14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</row>
    <row r="293" ht="15.75" customHeight="1" spans="1:14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</row>
    <row r="294" ht="15.75" customHeight="1" spans="1:1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ht="15.75" customHeight="1" spans="1:14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</row>
    <row r="296" ht="15.75" customHeight="1" spans="1:14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ht="15.75" customHeight="1" spans="1:14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</row>
    <row r="298" ht="15.75" customHeight="1" spans="1:14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</row>
    <row r="299" ht="15.75" customHeight="1" spans="1:14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ht="15.75" customHeight="1" spans="1:14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</row>
    <row r="301" ht="15.75" customHeight="1" spans="1:14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</row>
    <row r="302" ht="15.75" customHeight="1" spans="1:14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</row>
    <row r="303" ht="15.75" customHeight="1" spans="1:14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ht="15.75" customHeight="1" spans="1:1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</row>
    <row r="305" ht="15.75" customHeight="1" spans="1:14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</row>
    <row r="306" ht="15.75" customHeight="1" spans="1:14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ht="15.75" customHeight="1" spans="1:14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</row>
    <row r="308" ht="15.75" customHeight="1" spans="1:14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</row>
    <row r="309" ht="15.75" customHeight="1" spans="1:14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ht="15.75" customHeight="1" spans="1:14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ht="15.75" customHeight="1" spans="1:14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</row>
    <row r="312" ht="15.75" customHeight="1" spans="1:14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ht="15.75" customHeight="1" spans="1:14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</row>
    <row r="314" ht="15.75" customHeight="1" spans="1: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ht="15.75" customHeight="1" spans="1:14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</row>
    <row r="316" ht="15.75" customHeight="1" spans="1:14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</row>
    <row r="317" ht="15.75" customHeight="1" spans="1:14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ht="15.75" customHeight="1" spans="1:14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ht="15.75" customHeight="1" spans="1:14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</row>
    <row r="320" ht="15.75" customHeight="1" spans="1:14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</row>
    <row r="321" ht="15.75" customHeight="1" spans="1:14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</row>
    <row r="322" ht="15.75" customHeight="1" spans="1:14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ht="15.75" customHeight="1" spans="1:14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</row>
    <row r="324" ht="15.75" customHeight="1" spans="1:1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ht="15.75" customHeight="1" spans="1:14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</row>
    <row r="326" ht="15.75" customHeight="1" spans="1:14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ht="15.75" customHeight="1" spans="1:14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</row>
    <row r="328" ht="15.75" customHeight="1" spans="1:14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ht="15.75" customHeight="1" spans="1:14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</row>
    <row r="330" ht="15.75" customHeight="1" spans="1:14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</row>
    <row r="331" ht="15.75" customHeight="1" spans="1:14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</row>
    <row r="332" ht="15.75" customHeight="1" spans="1:14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ht="15.75" customHeight="1" spans="1:14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</row>
    <row r="334" ht="15.75" customHeight="1" spans="1:1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</row>
    <row r="335" ht="15.75" customHeight="1" spans="1:14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</row>
    <row r="336" ht="15.75" customHeight="1" spans="1:14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ht="15.75" customHeight="1" spans="1:14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</row>
    <row r="338" ht="15.75" customHeight="1" spans="1:14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</row>
    <row r="339" ht="15.75" customHeight="1" spans="1:14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ht="15.75" customHeight="1" spans="1:14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</row>
    <row r="341" ht="15.75" customHeight="1" spans="1:14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</row>
    <row r="342" ht="15.75" customHeight="1" spans="1:14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</row>
    <row r="343" ht="15.75" customHeight="1" spans="1:14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ht="15.75" customHeight="1" spans="1:1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</row>
    <row r="345" ht="15.75" customHeight="1" spans="1:14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ht="15.75" customHeight="1" spans="1:14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ht="15.75" customHeight="1" spans="1:14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</row>
    <row r="348" ht="15.75" customHeight="1" spans="1:14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</row>
    <row r="349" ht="15.75" customHeight="1" spans="1:14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</row>
    <row r="350" ht="15.75" customHeight="1" spans="1:14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ht="15.75" customHeight="1" spans="1:14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</row>
    <row r="352" ht="15.75" customHeight="1" spans="1:14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</row>
    <row r="353" ht="15.75" customHeight="1" spans="1:14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</row>
    <row r="354" ht="15.75" customHeight="1" spans="1:1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</row>
    <row r="355" ht="15.75" customHeight="1" spans="1:14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</row>
    <row r="356" ht="15.75" customHeight="1" spans="1:14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</row>
    <row r="357" ht="15.75" customHeight="1" spans="1:14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</row>
    <row r="358" ht="15.75" customHeight="1" spans="1:14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ht="15.75" customHeight="1" spans="1:14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</row>
    <row r="360" ht="15.75" customHeight="1" spans="1:14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</row>
    <row r="361" ht="15.75" customHeight="1" spans="1:14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</row>
    <row r="362" ht="15.75" customHeight="1" spans="1:14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</row>
    <row r="363" ht="15.75" customHeight="1" spans="1:14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</row>
    <row r="364" ht="15.75" customHeight="1" spans="1:1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ht="15.75" customHeight="1" spans="1:14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</row>
    <row r="366" ht="15.75" customHeight="1" spans="1:14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</row>
    <row r="367" ht="15.75" customHeight="1" spans="1:14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</row>
    <row r="368" ht="15.75" customHeight="1" spans="1:14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</row>
    <row r="369" ht="15.75" customHeight="1" spans="1:14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</row>
    <row r="370" ht="15.75" customHeight="1" spans="1:14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</row>
    <row r="371" ht="15.75" customHeight="1" spans="1:14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ht="15.75" customHeight="1" spans="1:14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</row>
    <row r="373" ht="15.75" customHeight="1" spans="1:14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</row>
    <row r="374" ht="15.75" customHeight="1" spans="1:1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</row>
    <row r="375" ht="15.75" customHeight="1" spans="1:14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</row>
    <row r="376" ht="15.75" customHeight="1" spans="1:14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</row>
    <row r="377" ht="15.75" customHeight="1" spans="1:14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ht="15.75" customHeight="1" spans="1:14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ht="15.75" customHeight="1" spans="1:14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ht="15.75" customHeight="1" spans="1:14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ht="15.75" customHeight="1" spans="1:14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ht="15.75" customHeight="1" spans="1:14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ht="15.75" customHeight="1" spans="1:14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ht="15.75" customHeight="1" spans="1:1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ht="15.75" customHeight="1" spans="1:14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ht="15.75" customHeight="1" spans="1:14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ht="15.75" customHeight="1" spans="1:14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ht="15.75" customHeight="1" spans="1:14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ht="15.75" customHeight="1" spans="1:14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ht="15.75" customHeight="1" spans="1:14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ht="15.75" customHeight="1" spans="1:14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ht="15.75" customHeight="1" spans="1:14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ht="15.75" customHeight="1" spans="1:14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ht="15.75" customHeight="1" spans="1:1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ht="15.75" customHeight="1" spans="1:14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ht="15.75" customHeight="1" spans="1:14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ht="15.75" customHeight="1" spans="1:14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ht="15.75" customHeight="1" spans="1:14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ht="15.75" customHeight="1" spans="1:14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ht="15.75" customHeight="1" spans="1:14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ht="15.75" customHeight="1" spans="1:14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ht="15.75" customHeight="1" spans="1:14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ht="15.75" customHeight="1" spans="1:14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ht="15.75" customHeight="1" spans="1:1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ht="15.75" customHeight="1" spans="1:14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ht="15.75" customHeight="1" spans="1:14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ht="15.75" customHeight="1" spans="1:14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ht="15.75" customHeight="1" spans="1:14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ht="15.75" customHeight="1" spans="1:14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ht="15.75" customHeight="1" spans="1:14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ht="15.75" customHeight="1" spans="1:14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ht="15.75" customHeight="1" spans="1:14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ht="15.75" customHeight="1" spans="1:14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ht="15.75" customHeight="1" spans="1: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ht="15.75" customHeight="1" spans="1:14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ht="15.75" customHeight="1" spans="1:14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ht="15.75" customHeight="1" spans="1:14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ht="15.75" customHeight="1" spans="1:14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ht="15.75" customHeight="1" spans="1:14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ht="15.75" customHeight="1" spans="1:14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ht="15.75" customHeight="1" spans="1:14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ht="15.75" customHeight="1" spans="1:14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ht="15.75" customHeight="1" spans="1:14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ht="15.75" customHeight="1" spans="1:1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ht="15.75" customHeight="1" spans="1:14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ht="15.75" customHeight="1" spans="1:14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ht="15.75" customHeight="1" spans="1:14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ht="15.75" customHeight="1" spans="1:14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ht="15.75" customHeight="1" spans="1:14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ht="15.75" customHeight="1" spans="1:14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ht="15.75" customHeight="1" spans="1:14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ht="15.75" customHeight="1" spans="1:14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ht="15.75" customHeight="1" spans="1:14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ht="15.75" customHeight="1" spans="1:1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ht="15.75" customHeight="1" spans="1:14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ht="15.75" customHeight="1" spans="1:14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ht="15.75" customHeight="1" spans="1:14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ht="15.75" customHeight="1" spans="1:14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ht="15.75" customHeight="1" spans="1:14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ht="15.75" customHeight="1" spans="1:14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ht="15.75" customHeight="1" spans="1:14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ht="15.75" customHeight="1" spans="1:14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ht="15.75" customHeight="1" spans="1:14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ht="15.75" customHeight="1" spans="1:1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ht="15.75" customHeight="1" spans="1:14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ht="15.75" customHeight="1" spans="1:14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ht="15.75" customHeight="1" spans="1:14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ht="15.75" customHeight="1" spans="1:14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ht="15.75" customHeight="1" spans="1:14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ht="15.75" customHeight="1" spans="1:14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ht="15.75" customHeight="1" spans="1:14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ht="15.75" customHeight="1" spans="1:14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ht="15.75" customHeight="1" spans="1:14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ht="15.75" customHeight="1" spans="1:1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ht="15.75" customHeight="1" spans="1:14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ht="15.75" customHeight="1" spans="1:14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ht="15.75" customHeight="1" spans="1:14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ht="15.75" customHeight="1" spans="1:14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ht="15.75" customHeight="1" spans="1:14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ht="15.75" customHeight="1" spans="1:14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ht="15.75" customHeight="1" spans="1:14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ht="15.75" customHeight="1" spans="1:14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ht="15.75" customHeight="1" spans="1:14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ht="15.75" customHeight="1" spans="1:1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ht="15.75" customHeight="1" spans="1:14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ht="15.75" customHeight="1" spans="1:14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ht="15.75" customHeight="1" spans="1:14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ht="15.75" customHeight="1" spans="1:14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ht="15.75" customHeight="1" spans="1:14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ht="15.75" customHeight="1" spans="1:14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ht="15.75" customHeight="1" spans="1:14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ht="15.75" customHeight="1" spans="1:14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ht="15.75" customHeight="1" spans="1:14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ht="15.75" customHeight="1" spans="1:1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ht="15.75" customHeight="1" spans="1:14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ht="15.75" customHeight="1" spans="1:14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ht="15.75" customHeight="1" spans="1:14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ht="15.75" customHeight="1" spans="1:14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ht="15.75" customHeight="1" spans="1:14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ht="15.75" customHeight="1" spans="1:14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ht="15.75" customHeight="1" spans="1:14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ht="15.75" customHeight="1" spans="1:14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ht="15.75" customHeight="1" spans="1:14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ht="15.75" customHeight="1" spans="1:1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ht="15.75" customHeight="1" spans="1:14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ht="15.75" customHeight="1" spans="1:14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ht="15.75" customHeight="1" spans="1:14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ht="15.75" customHeight="1" spans="1:14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ht="15.75" customHeight="1" spans="1:14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ht="15.75" customHeight="1" spans="1:14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ht="15.75" customHeight="1" spans="1:14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ht="15.75" customHeight="1" spans="1:14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ht="15.75" customHeight="1" spans="1:14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ht="15.75" customHeight="1" spans="1:1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ht="15.75" customHeight="1" spans="1:14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ht="15.75" customHeight="1" spans="1:14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ht="15.75" customHeight="1" spans="1:14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ht="15.75" customHeight="1" spans="1:14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ht="15.75" customHeight="1" spans="1:14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ht="15.75" customHeight="1" spans="1:14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ht="15.75" customHeight="1" spans="1:14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ht="15.75" customHeight="1" spans="1:14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ht="15.75" customHeight="1" spans="1:14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ht="15.75" customHeight="1" spans="1:1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ht="15.75" customHeight="1" spans="1:14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ht="15.75" customHeight="1" spans="1:14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ht="15.75" customHeight="1" spans="1:14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ht="15.75" customHeight="1" spans="1:14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ht="15.75" customHeight="1" spans="1:14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ht="15.75" customHeight="1" spans="1:14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ht="15.75" customHeight="1" spans="1:14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ht="15.75" customHeight="1" spans="1:14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ht="15.75" customHeight="1" spans="1:14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ht="15.75" customHeight="1" spans="1: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ht="15.75" customHeight="1" spans="1:14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ht="15.75" customHeight="1" spans="1:14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ht="15.75" customHeight="1" spans="1:14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ht="15.75" customHeight="1" spans="1:14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ht="15.75" customHeight="1" spans="1:14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ht="15.75" customHeight="1" spans="1:14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ht="15.75" customHeight="1" spans="1:14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ht="15.75" customHeight="1" spans="1:14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ht="15.75" customHeight="1" spans="1:14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ht="15.75" customHeight="1" spans="1:1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ht="15.75" customHeight="1" spans="1:14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ht="15.75" customHeight="1" spans="1:14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ht="15.75" customHeight="1" spans="1:14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ht="15.75" customHeight="1" spans="1:14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ht="15.75" customHeight="1" spans="1:14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ht="15.75" customHeight="1" spans="1:14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ht="15.75" customHeight="1" spans="1:14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ht="15.75" customHeight="1" spans="1:14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ht="15.75" customHeight="1" spans="1:14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ht="15.75" customHeight="1" spans="1:1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ht="15.75" customHeight="1" spans="1:14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ht="15.75" customHeight="1" spans="1:14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ht="15.75" customHeight="1" spans="1:14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ht="15.75" customHeight="1" spans="1:14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ht="15.75" customHeight="1" spans="1:14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ht="15.75" customHeight="1" spans="1:14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ht="15.75" customHeight="1" spans="1:14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ht="15.75" customHeight="1" spans="1:14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ht="15.75" customHeight="1" spans="1:14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ht="15.75" customHeight="1" spans="1:1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ht="15.75" customHeight="1" spans="1:14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ht="15.75" customHeight="1" spans="1:14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ht="15.75" customHeight="1" spans="1:14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ht="15.75" customHeight="1" spans="1:14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ht="15.75" customHeight="1" spans="1:14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ht="15.75" customHeight="1" spans="1:14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ht="15.75" customHeight="1" spans="1:14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ht="15.75" customHeight="1" spans="1:14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ht="15.75" customHeight="1" spans="1:14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ht="15.75" customHeight="1" spans="1:1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ht="15.75" customHeight="1" spans="1:14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ht="15.75" customHeight="1" spans="1:14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ht="15.75" customHeight="1" spans="1:14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ht="15.75" customHeight="1" spans="1:14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ht="15.75" customHeight="1" spans="1:14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ht="15.75" customHeight="1" spans="1:14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ht="15.75" customHeight="1" spans="1:14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ht="15.75" customHeight="1" spans="1:14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ht="15.75" customHeight="1" spans="1:14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ht="15.75" customHeight="1" spans="1:1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ht="15.75" customHeight="1" spans="1:14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ht="15.75" customHeight="1" spans="1:14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ht="15.75" customHeight="1" spans="1:14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ht="15.75" customHeight="1" spans="1:14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ht="15.75" customHeight="1" spans="1:14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ht="15.75" customHeight="1" spans="1:14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ht="15.75" customHeight="1" spans="1:14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ht="15.75" customHeight="1" spans="1:14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ht="15.75" customHeight="1" spans="1:14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ht="15.75" customHeight="1" spans="1:1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ht="15.75" customHeight="1" spans="1:14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ht="15.75" customHeight="1" spans="1:14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ht="15.75" customHeight="1" spans="1:14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ht="15.75" customHeight="1" spans="1:14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ht="15.75" customHeight="1" spans="1:14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ht="15.75" customHeight="1" spans="1:14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ht="15.75" customHeight="1" spans="1:14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ht="15.75" customHeight="1" spans="1:14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ht="15.75" customHeight="1" spans="1:14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ht="15.75" customHeight="1" spans="1:1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ht="15.75" customHeight="1" spans="1:14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ht="15.75" customHeight="1" spans="1:14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ht="15.75" customHeight="1" spans="1:14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ht="15.75" customHeight="1" spans="1:14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ht="15.75" customHeight="1" spans="1:14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ht="15.75" customHeight="1" spans="1:14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ht="15.75" customHeight="1" spans="1:14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ht="15.75" customHeight="1" spans="1:14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ht="15.75" customHeight="1" spans="1:14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ht="15.75" customHeight="1" spans="1:1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ht="15.75" customHeight="1" spans="1:14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ht="15.75" customHeight="1" spans="1:14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ht="15.75" customHeight="1" spans="1:14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ht="15.75" customHeight="1" spans="1:14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ht="15.75" customHeight="1" spans="1:14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ht="15.75" customHeight="1" spans="1:14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ht="15.75" customHeight="1" spans="1:14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ht="15.75" customHeight="1" spans="1:14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ht="15.75" customHeight="1" spans="1:14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ht="15.75" customHeight="1" spans="1:1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</row>
    <row r="605" ht="15.75" customHeight="1" spans="1:14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ht="15.75" customHeight="1" spans="1:14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ht="15.75" customHeight="1" spans="1:14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ht="15.75" customHeight="1" spans="1:14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ht="15.75" customHeight="1" spans="1:14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ht="15.75" customHeight="1" spans="1:14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ht="15.75" customHeight="1" spans="1:14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</row>
    <row r="612" ht="15.75" customHeight="1" spans="1:14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</row>
    <row r="613" ht="15.75" customHeight="1" spans="1:14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ht="15.75" customHeight="1" spans="1: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</row>
    <row r="615" ht="15.75" customHeight="1" spans="1:14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ht="15.75" customHeight="1" spans="1:14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ht="15.75" customHeight="1" spans="1:14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ht="15.75" customHeight="1" spans="1:14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</row>
    <row r="619" ht="15.75" customHeight="1" spans="1:14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ht="15.75" customHeight="1" spans="1:14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ht="15.75" customHeight="1" spans="1:14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ht="15.75" customHeight="1" spans="1:14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ht="15.75" customHeight="1" spans="1:14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ht="15.75" customHeight="1" spans="1:1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ht="15.75" customHeight="1" spans="1:14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ht="15.75" customHeight="1" spans="1:14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ht="15.75" customHeight="1" spans="1:14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ht="15.75" customHeight="1" spans="1:14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ht="15.75" customHeight="1" spans="1:14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ht="15.75" customHeight="1" spans="1:14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ht="15.75" customHeight="1" spans="1:14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ht="15.75" customHeight="1" spans="1:14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ht="15.75" customHeight="1" spans="1:14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ht="15.75" customHeight="1" spans="1:1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ht="15.75" customHeight="1" spans="1:14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ht="15.75" customHeight="1" spans="1:14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ht="15.75" customHeight="1" spans="1:14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ht="15.75" customHeight="1" spans="1:14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ht="15.75" customHeight="1" spans="1:14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ht="15.75" customHeight="1" spans="1:14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ht="15.75" customHeight="1" spans="1:14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ht="15.75" customHeight="1" spans="1:14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ht="15.75" customHeight="1" spans="1:14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ht="15.75" customHeight="1" spans="1:1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ht="15.75" customHeight="1" spans="1:14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ht="15.75" customHeight="1" spans="1:14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</row>
    <row r="647" ht="15.75" customHeight="1" spans="1:14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ht="15.75" customHeight="1" spans="1:14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ht="15.75" customHeight="1" spans="1:14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ht="15.75" customHeight="1" spans="1:14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ht="15.75" customHeight="1" spans="1:14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ht="15.75" customHeight="1" spans="1:14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</row>
    <row r="653" ht="15.75" customHeight="1" spans="1:14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</row>
    <row r="654" ht="15.75" customHeight="1" spans="1:1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ht="15.75" customHeight="1" spans="1:14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</row>
    <row r="656" ht="15.75" customHeight="1" spans="1:14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ht="15.75" customHeight="1" spans="1:14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ht="15.75" customHeight="1" spans="1:14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ht="15.75" customHeight="1" spans="1:14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</row>
    <row r="660" ht="15.75" customHeight="1" spans="1:14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ht="15.75" customHeight="1" spans="1:14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ht="15.75" customHeight="1" spans="1:14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ht="15.75" customHeight="1" spans="1:14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ht="15.75" customHeight="1" spans="1:1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ht="15.75" customHeight="1" spans="1:14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ht="15.75" customHeight="1" spans="1:14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</row>
    <row r="667" ht="15.75" customHeight="1" spans="1:14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ht="15.75" customHeight="1" spans="1:14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ht="15.75" customHeight="1" spans="1:14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ht="15.75" customHeight="1" spans="1:14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ht="15.75" customHeight="1" spans="1:14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</row>
    <row r="672" ht="15.75" customHeight="1" spans="1:14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</row>
    <row r="673" ht="15.75" customHeight="1" spans="1:14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ht="15.75" customHeight="1" spans="1:1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ht="15.75" customHeight="1" spans="1:14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ht="15.75" customHeight="1" spans="1:14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ht="15.75" customHeight="1" spans="1:14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</row>
    <row r="678" ht="15.75" customHeight="1" spans="1:14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ht="15.75" customHeight="1" spans="1:14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ht="15.75" customHeight="1" spans="1:14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</row>
    <row r="681" ht="15.75" customHeight="1" spans="1:14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ht="15.75" customHeight="1" spans="1:14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ht="15.75" customHeight="1" spans="1:14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ht="15.75" customHeight="1" spans="1:1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ht="15.75" customHeight="1" spans="1:14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ht="15.75" customHeight="1" spans="1:14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</row>
    <row r="687" ht="15.75" customHeight="1" spans="1:14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ht="15.75" customHeight="1" spans="1:14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ht="15.75" customHeight="1" spans="1:14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</row>
    <row r="690" ht="15.75" customHeight="1" spans="1:14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ht="15.75" customHeight="1" spans="1:14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ht="15.75" customHeight="1" spans="1:14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ht="15.75" customHeight="1" spans="1:14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</row>
    <row r="694" ht="15.75" customHeight="1" spans="1:1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</row>
    <row r="695" ht="15.75" customHeight="1" spans="1:14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ht="15.75" customHeight="1" spans="1:14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ht="15.75" customHeight="1" spans="1:14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ht="15.75" customHeight="1" spans="1:14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ht="15.75" customHeight="1" spans="1:14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ht="15.75" customHeight="1" spans="1:14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</row>
    <row r="701" ht="15.75" customHeight="1" spans="1:14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ht="15.75" customHeight="1" spans="1:14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ht="15.75" customHeight="1" spans="1:14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ht="15.75" customHeight="1" spans="1:1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ht="15.75" customHeight="1" spans="1:14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ht="15.75" customHeight="1" spans="1:14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</row>
    <row r="707" ht="15.75" customHeight="1" spans="1:14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ht="15.75" customHeight="1" spans="1:14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ht="15.75" customHeight="1" spans="1:14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ht="15.75" customHeight="1" spans="1:14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ht="15.75" customHeight="1" spans="1:14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ht="15.75" customHeight="1" spans="1:14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ht="15.75" customHeight="1" spans="1:14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ht="15.75" customHeight="1" spans="1: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</row>
    <row r="715" ht="15.75" customHeight="1" spans="1:14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ht="15.75" customHeight="1" spans="1:14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ht="15.75" customHeight="1" spans="1:14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</row>
    <row r="718" ht="15.75" customHeight="1" spans="1:14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</row>
    <row r="719" ht="15.75" customHeight="1" spans="1:14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ht="15.75" customHeight="1" spans="1:14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ht="15.75" customHeight="1" spans="1:14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</row>
    <row r="722" ht="15.75" customHeight="1" spans="1:14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ht="15.75" customHeight="1" spans="1:14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ht="15.75" customHeight="1" spans="1:1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ht="15.75" customHeight="1" spans="1:14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ht="15.75" customHeight="1" spans="1:14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</row>
    <row r="727" ht="15.75" customHeight="1" spans="1:14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ht="15.75" customHeight="1" spans="1:14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ht="15.75" customHeight="1" spans="1:14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</row>
    <row r="730" ht="15.75" customHeight="1" spans="1:14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ht="15.75" customHeight="1" spans="1:14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ht="15.75" customHeight="1" spans="1:14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</row>
    <row r="733" ht="15.75" customHeight="1" spans="1:14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ht="15.75" customHeight="1" spans="1:1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ht="15.75" customHeight="1" spans="1:14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ht="15.75" customHeight="1" spans="1:14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ht="15.75" customHeight="1" spans="1:14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ht="15.75" customHeight="1" spans="1:14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ht="15.75" customHeight="1" spans="1:14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ht="15.75" customHeight="1" spans="1:14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ht="15.75" customHeight="1" spans="1:14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ht="15.75" customHeight="1" spans="1:14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ht="15.75" customHeight="1" spans="1:14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ht="15.75" customHeight="1" spans="1:1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ht="15.75" customHeight="1" spans="1:14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ht="15.75" customHeight="1" spans="1:14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ht="15.75" customHeight="1" spans="1:14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ht="15.75" customHeight="1" spans="1:14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ht="15.75" customHeight="1" spans="1:14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ht="15.75" customHeight="1" spans="1:14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</row>
    <row r="751" ht="15.75" customHeight="1" spans="1:14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ht="15.75" customHeight="1" spans="1:14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ht="15.75" customHeight="1" spans="1:14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</row>
    <row r="754" ht="15.75" customHeight="1" spans="1:1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ht="15.75" customHeight="1" spans="1:14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ht="15.75" customHeight="1" spans="1:14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</row>
    <row r="757" ht="15.75" customHeight="1" spans="1:14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</row>
    <row r="758" ht="15.75" customHeight="1" spans="1:14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ht="15.75" customHeight="1" spans="1:14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ht="15.75" customHeight="1" spans="1:14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ht="15.75" customHeight="1" spans="1:14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ht="15.75" customHeight="1" spans="1:14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ht="15.75" customHeight="1" spans="1:14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ht="15.75" customHeight="1" spans="1:1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ht="15.75" customHeight="1" spans="1:14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ht="15.75" customHeight="1" spans="1:14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</row>
    <row r="767" ht="15.75" customHeight="1" spans="1:14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ht="15.75" customHeight="1" spans="1:14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ht="15.75" customHeight="1" spans="1:14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ht="15.75" customHeight="1" spans="1:14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</row>
    <row r="771" ht="15.75" customHeight="1" spans="1:14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ht="15.75" customHeight="1" spans="1:14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ht="15.75" customHeight="1" spans="1:14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ht="15.75" customHeight="1" spans="1:1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ht="15.75" customHeight="1" spans="1:14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ht="15.75" customHeight="1" spans="1:14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ht="15.75" customHeight="1" spans="1:14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ht="15.75" customHeight="1" spans="1:14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ht="15.75" customHeight="1" spans="1:14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ht="15.75" customHeight="1" spans="1:14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ht="15.75" customHeight="1" spans="1:14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ht="15.75" customHeight="1" spans="1:14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ht="15.75" customHeight="1" spans="1:14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ht="15.75" customHeight="1" spans="1:1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</row>
    <row r="785" ht="15.75" customHeight="1" spans="1:14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ht="15.75" customHeight="1" spans="1:14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ht="15.75" customHeight="1" spans="1:14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ht="15.75" customHeight="1" spans="1:14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ht="15.75" customHeight="1" spans="1:14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ht="15.75" customHeight="1" spans="1:14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ht="15.75" customHeight="1" spans="1:14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ht="15.75" customHeight="1" spans="1:14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ht="15.75" customHeight="1" spans="1:14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</row>
    <row r="794" ht="15.75" customHeight="1" spans="1:1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ht="15.75" customHeight="1" spans="1:14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ht="15.75" customHeight="1" spans="1:14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</row>
    <row r="797" ht="15.75" customHeight="1" spans="1:14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ht="15.75" customHeight="1" spans="1:14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</row>
    <row r="799" ht="15.75" customHeight="1" spans="1:14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ht="15.75" customHeight="1" spans="1:14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ht="15.75" customHeight="1" spans="1:14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ht="15.75" customHeight="1" spans="1:14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ht="15.75" customHeight="1" spans="1:14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</row>
    <row r="804" ht="15.75" customHeight="1" spans="1:1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ht="15.75" customHeight="1" spans="1:14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ht="15.75" customHeight="1" spans="1:14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</row>
    <row r="807" ht="15.75" customHeight="1" spans="1:14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ht="15.75" customHeight="1" spans="1:14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ht="15.75" customHeight="1" spans="1:14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</row>
    <row r="810" ht="15.75" customHeight="1" spans="1:14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ht="15.75" customHeight="1" spans="1:14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ht="15.75" customHeight="1" spans="1:14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</row>
    <row r="813" ht="15.75" customHeight="1" spans="1:14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</row>
    <row r="814" ht="15.75" customHeight="1" spans="1: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ht="15.75" customHeight="1" spans="1:14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</row>
    <row r="816" ht="15.75" customHeight="1" spans="1:14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</row>
    <row r="817" ht="15.75" customHeight="1" spans="1:14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ht="15.75" customHeight="1" spans="1:14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ht="15.75" customHeight="1" spans="1:14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</row>
    <row r="820" ht="15.75" customHeight="1" spans="1:14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ht="15.75" customHeight="1" spans="1:14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ht="15.75" customHeight="1" spans="1:14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</row>
    <row r="823" ht="15.75" customHeight="1" spans="1:14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ht="15.75" customHeight="1" spans="1:1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</row>
    <row r="825" ht="15.75" customHeight="1" spans="1:14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ht="15.75" customHeight="1" spans="1:14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ht="15.75" customHeight="1" spans="1:14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</row>
    <row r="828" ht="15.75" customHeight="1" spans="1:14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</row>
    <row r="829" ht="15.75" customHeight="1" spans="1:14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ht="15.75" customHeight="1" spans="1:14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ht="15.75" customHeight="1" spans="1:14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ht="15.75" customHeight="1" spans="1:14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ht="15.75" customHeight="1" spans="1:14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</row>
    <row r="834" ht="15.75" customHeight="1" spans="1:1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ht="15.75" customHeight="1" spans="1:14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ht="15.75" customHeight="1" spans="1:14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ht="15.75" customHeight="1" spans="1:14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ht="15.75" customHeight="1" spans="1:14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ht="15.75" customHeight="1" spans="1:14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</row>
    <row r="840" ht="15.75" customHeight="1" spans="1:14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ht="15.75" customHeight="1" spans="1:14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ht="15.75" customHeight="1" spans="1:14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ht="15.75" customHeight="1" spans="1:14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</row>
    <row r="844" ht="15.75" customHeight="1" spans="1:1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ht="15.75" customHeight="1" spans="1:14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ht="15.75" customHeight="1" spans="1:14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ht="15.75" customHeight="1" spans="1:14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ht="15.75" customHeight="1" spans="1:14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ht="15.75" customHeight="1" spans="1:14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ht="15.75" customHeight="1" spans="1:14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ht="15.75" customHeight="1" spans="1:14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ht="15.75" customHeight="1" spans="1:14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ht="15.75" customHeight="1" spans="1:14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ht="15.75" customHeight="1" spans="1:1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</row>
    <row r="855" ht="15.75" customHeight="1" spans="1:14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</row>
    <row r="856" ht="15.75" customHeight="1" spans="1:14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ht="15.75" customHeight="1" spans="1:14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ht="15.75" customHeight="1" spans="1:14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ht="15.75" customHeight="1" spans="1:14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ht="15.75" customHeight="1" spans="1:14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ht="15.75" customHeight="1" spans="1:14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ht="15.75" customHeight="1" spans="1:14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ht="15.75" customHeight="1" spans="1:14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ht="15.75" customHeight="1" spans="1:1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ht="15.75" customHeight="1" spans="1:14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ht="15.75" customHeight="1" spans="1:14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ht="15.75" customHeight="1" spans="1:14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ht="15.75" customHeight="1" spans="1:14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ht="15.75" customHeight="1" spans="1:14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ht="15.75" customHeight="1" spans="1:14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ht="15.75" customHeight="1" spans="1:14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ht="15.75" customHeight="1" spans="1:14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ht="15.75" customHeight="1" spans="1:14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ht="15.75" customHeight="1" spans="1:1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ht="15.75" customHeight="1" spans="1:14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ht="15.75" customHeight="1" spans="1:14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ht="15.75" customHeight="1" spans="1:14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ht="15.75" customHeight="1" spans="1:14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ht="15.75" customHeight="1" spans="1:14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ht="15.75" customHeight="1" spans="1:14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ht="15.75" customHeight="1" spans="1:14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</row>
    <row r="882" ht="15.75" customHeight="1" spans="1:14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</row>
    <row r="883" ht="15.75" customHeight="1" spans="1:14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</row>
    <row r="884" ht="15.75" customHeight="1" spans="1:1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</row>
    <row r="885" ht="15.75" customHeight="1" spans="1:14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</row>
    <row r="886" ht="15.75" customHeight="1" spans="1:14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</row>
    <row r="887" ht="15.75" customHeight="1" spans="1:14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ht="15.75" customHeight="1" spans="1:14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</row>
    <row r="889" ht="15.75" customHeight="1" spans="1:14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</row>
    <row r="890" ht="15.75" customHeight="1" spans="1:14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</row>
    <row r="891" ht="15.75" customHeight="1" spans="1:14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</row>
    <row r="892" ht="15.75" customHeight="1" spans="1:14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</row>
    <row r="893" ht="15.75" customHeight="1" spans="1:14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</row>
    <row r="894" ht="15.75" customHeight="1" spans="1:1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</row>
    <row r="895" ht="15.75" customHeight="1" spans="1:14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</row>
    <row r="896" ht="15.75" customHeight="1" spans="1:14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</row>
    <row r="897" ht="15.75" customHeight="1" spans="1:14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</row>
    <row r="898" ht="15.75" customHeight="1" spans="1:14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</row>
    <row r="899" ht="15.75" customHeight="1" spans="1:14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</row>
    <row r="900" ht="15.75" customHeight="1" spans="1:14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</row>
    <row r="901" ht="15.75" customHeight="1" spans="1:14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</row>
    <row r="902" ht="15.75" customHeight="1" spans="1:14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</row>
    <row r="903" ht="15.75" customHeight="1" spans="1:14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</row>
    <row r="904" ht="15.75" customHeight="1" spans="1:1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</row>
    <row r="905" ht="15.75" customHeight="1" spans="1:14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</row>
    <row r="906" ht="15.75" customHeight="1" spans="1:14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</row>
    <row r="907" ht="15.75" customHeight="1" spans="1:14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</row>
    <row r="908" ht="15.75" customHeight="1" spans="1:14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</row>
    <row r="909" ht="15.75" customHeight="1" spans="1:14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</row>
    <row r="910" ht="15.75" customHeight="1" spans="1:14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ht="15.75" customHeight="1" spans="1:14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</row>
    <row r="912" ht="15.75" customHeight="1" spans="1:14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</row>
    <row r="913" ht="15.75" customHeight="1" spans="1:14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</row>
    <row r="914" ht="15.75" customHeight="1" spans="1: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</row>
    <row r="915" ht="15.75" customHeight="1" spans="1:14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</row>
    <row r="916" ht="15.75" customHeight="1" spans="1:14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</row>
    <row r="917" ht="15.75" customHeight="1" spans="1:14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</row>
    <row r="918" ht="15.75" customHeight="1" spans="1:14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</row>
    <row r="919" ht="15.75" customHeight="1" spans="1:14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</row>
    <row r="920" ht="15.75" customHeight="1" spans="1:14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</row>
    <row r="921" ht="15.75" customHeight="1" spans="1:14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</row>
    <row r="922" ht="15.75" customHeight="1" spans="1:14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</row>
    <row r="923" ht="15.75" customHeight="1" spans="1:14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</row>
    <row r="924" ht="15.75" customHeight="1" spans="1:1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</row>
    <row r="925" ht="15.75" customHeight="1" spans="1:14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</row>
    <row r="926" ht="15.75" customHeight="1" spans="1:14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</row>
    <row r="927" ht="15.75" customHeight="1" spans="1:14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</row>
    <row r="928" ht="15.75" customHeight="1" spans="1:14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</row>
    <row r="929" ht="15.75" customHeight="1" spans="1:14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</row>
    <row r="930" ht="15.75" customHeight="1" spans="1:14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</row>
    <row r="931" ht="15.75" customHeight="1" spans="1:14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</row>
    <row r="932" ht="15.75" customHeight="1" spans="1:14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</row>
    <row r="933" ht="15.75" customHeight="1" spans="1:14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</row>
    <row r="934" ht="15.75" customHeight="1" spans="1:1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</row>
    <row r="935" ht="15.75" customHeight="1" spans="1:14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</row>
    <row r="936" ht="15.75" customHeight="1" spans="1:14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</row>
    <row r="937" ht="15.75" customHeight="1" spans="1:14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</row>
    <row r="938" ht="15.75" customHeight="1" spans="1:14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</row>
    <row r="939" ht="15.75" customHeight="1" spans="1:14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</row>
    <row r="940" ht="15.75" customHeight="1" spans="1:14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</row>
    <row r="941" ht="15.75" customHeight="1" spans="1:14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</row>
    <row r="942" ht="15.75" customHeight="1" spans="1:14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</row>
    <row r="943" ht="15.75" customHeight="1" spans="1:14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</row>
    <row r="944" ht="15.75" customHeight="1" spans="1:1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</row>
    <row r="945" ht="15.75" customHeight="1" spans="1:14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</row>
    <row r="946" ht="15.75" customHeight="1" spans="1:14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</row>
    <row r="947" ht="15.75" customHeight="1" spans="1:14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</row>
    <row r="948" ht="15.75" customHeight="1" spans="1:14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</row>
    <row r="949" ht="15.75" customHeight="1" spans="1:14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</row>
    <row r="950" ht="15.75" customHeight="1" spans="1:14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</row>
    <row r="951" ht="15.75" customHeight="1" spans="1:14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</row>
    <row r="952" ht="15.75" customHeight="1" spans="1:14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</row>
    <row r="953" ht="15.75" customHeight="1" spans="1:14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</row>
    <row r="954" ht="15.75" customHeight="1" spans="1:1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</row>
    <row r="955" ht="15.75" customHeight="1" spans="1:14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</row>
    <row r="956" ht="15.75" customHeight="1" spans="1:14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</row>
    <row r="957" ht="15.75" customHeight="1" spans="1:14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</row>
    <row r="958" ht="15.75" customHeight="1" spans="1:14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</row>
    <row r="959" ht="15.75" customHeight="1" spans="1:14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</row>
    <row r="960" ht="15.75" customHeight="1" spans="1:14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</row>
    <row r="961" ht="15.75" customHeight="1" spans="1:14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</row>
    <row r="962" ht="15.75" customHeight="1" spans="1:14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</row>
    <row r="963" ht="15.75" customHeight="1" spans="1:14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</row>
    <row r="964" ht="15.75" customHeight="1" spans="1:1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</row>
    <row r="965" ht="15.75" customHeight="1" spans="1:14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</row>
    <row r="966" ht="15.75" customHeight="1" spans="1:14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</row>
    <row r="967" ht="15.75" customHeight="1" spans="1:14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</row>
    <row r="968" ht="15.75" customHeight="1" spans="1:14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</row>
    <row r="969" ht="15.75" customHeight="1" spans="1:14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</row>
    <row r="970" ht="15.75" customHeight="1" spans="1:14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</row>
    <row r="971" ht="15.75" customHeight="1" spans="1:14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</row>
    <row r="972" ht="15.75" customHeight="1" spans="1:14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</row>
    <row r="973" ht="15.75" customHeight="1" spans="1:14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</row>
    <row r="974" ht="15.75" customHeight="1" spans="1:1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</row>
    <row r="975" ht="15.75" customHeight="1" spans="1:14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</row>
    <row r="976" ht="15.75" customHeight="1" spans="1:14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</row>
    <row r="977" ht="15.75" customHeight="1" spans="1:14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</row>
    <row r="978" ht="15.75" customHeight="1" spans="1:14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</row>
    <row r="979" ht="15.75" customHeight="1" spans="1:14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</row>
    <row r="980" ht="15.75" customHeight="1" spans="1:14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</row>
    <row r="981" ht="15.75" customHeight="1" spans="1:14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</row>
    <row r="982" ht="15.75" customHeight="1" spans="1:14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</row>
    <row r="983" ht="15.75" customHeight="1" spans="1:14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</row>
    <row r="984" ht="15.75" customHeight="1" spans="1:1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</row>
    <row r="985" ht="15.75" customHeight="1" spans="1:14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</row>
    <row r="986" ht="15.75" customHeight="1" spans="1:14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</row>
    <row r="987" ht="15.75" customHeight="1" spans="1:14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</row>
    <row r="988" ht="15.75" customHeight="1" spans="1:14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</row>
    <row r="989" ht="15.75" customHeight="1" spans="1:14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</row>
    <row r="990" ht="15.75" customHeight="1" spans="1:14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</row>
    <row r="991" ht="15.75" customHeight="1" spans="1:14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</row>
    <row r="992" ht="15.75" customHeight="1" spans="1:14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</row>
    <row r="993" ht="15.75" customHeight="1" spans="1:14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</row>
    <row r="994" ht="15.75" customHeight="1" spans="1:1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</row>
    <row r="995" ht="15.75" customHeight="1" spans="1:14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</row>
    <row r="996" ht="15.75" customHeight="1" spans="1:14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</row>
    <row r="997" ht="15.75" customHeight="1" spans="1:14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</row>
    <row r="998" ht="15.75" customHeight="1" spans="1:14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</row>
    <row r="999" ht="15.75" customHeight="1" spans="1:14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</row>
    <row r="1000" ht="15.75" customHeight="1" spans="1:14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</row>
  </sheetData>
  <conditionalFormatting sqref="B24:N24">
    <cfRule type="cellIs" dxfId="0" priority="1" operator="notEqual">
      <formula>0</formula>
    </cfRule>
    <cfRule type="cellIs" dxfId="1" priority="2" operator="equal">
      <formula>0</formula>
    </cfRule>
  </conditionalFormatting>
  <pageMargins left="0.75" right="0.75" top="1" bottom="1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workbookViewId="0">
      <selection activeCell="A1" sqref="A1"/>
    </sheetView>
  </sheetViews>
  <sheetFormatPr defaultColWidth="14.4296875" defaultRowHeight="15" customHeight="1"/>
  <cols>
    <col min="1" max="1" width="52" customWidth="1"/>
    <col min="2" max="6" width="14" customWidth="1"/>
    <col min="7" max="26" width="8.7109375" customWidth="1"/>
  </cols>
  <sheetData>
    <row r="1" ht="14" spans="1:11">
      <c r="A1" s="19" t="s">
        <v>97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14" spans="1:11">
      <c r="A2" s="18" t="s">
        <v>98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ht="14" spans="1:1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ht="14" spans="1:11">
      <c r="A4" s="1" t="s">
        <v>99</v>
      </c>
      <c r="B4" s="20" t="s">
        <v>100</v>
      </c>
      <c r="C4" s="20" t="s">
        <v>101</v>
      </c>
      <c r="D4" s="20" t="s">
        <v>102</v>
      </c>
      <c r="E4" s="20" t="s">
        <v>103</v>
      </c>
      <c r="F4" s="20" t="s">
        <v>104</v>
      </c>
      <c r="G4" s="17"/>
      <c r="H4" s="17"/>
      <c r="I4" s="17"/>
      <c r="J4" s="17"/>
      <c r="K4" s="17"/>
    </row>
    <row r="5" ht="14" spans="1:1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ht="14" spans="1:11">
      <c r="A6" s="11" t="s">
        <v>4</v>
      </c>
      <c r="B6" s="21">
        <f>SUM(Forecast!C6:N6)</f>
        <v>116942.323587084</v>
      </c>
      <c r="C6" s="14">
        <f t="shared" ref="C6:F6" si="0">B6*(1+C7)</f>
        <v>140330.788304501</v>
      </c>
      <c r="D6" s="14">
        <f t="shared" si="0"/>
        <v>161380.406550176</v>
      </c>
      <c r="E6" s="14">
        <f t="shared" si="0"/>
        <v>177518.447205193</v>
      </c>
      <c r="F6" s="14">
        <f t="shared" si="0"/>
        <v>188169.554037505</v>
      </c>
      <c r="G6" s="17"/>
      <c r="H6" s="17"/>
      <c r="I6" s="17"/>
      <c r="J6" s="17"/>
      <c r="K6" s="17"/>
    </row>
    <row r="7" ht="14" spans="1:11">
      <c r="A7" s="11" t="s">
        <v>105</v>
      </c>
      <c r="B7" s="22" t="s">
        <v>106</v>
      </c>
      <c r="C7" s="23">
        <f>Assumptions!B18</f>
        <v>0.2</v>
      </c>
      <c r="D7" s="23">
        <f>Assumptions!B19</f>
        <v>0.15</v>
      </c>
      <c r="E7" s="23">
        <f>Assumptions!B20</f>
        <v>0.1</v>
      </c>
      <c r="F7" s="23">
        <f>Assumptions!B21</f>
        <v>0.06</v>
      </c>
      <c r="G7" s="17"/>
      <c r="H7" s="17"/>
      <c r="I7" s="17"/>
      <c r="J7" s="17"/>
      <c r="K7" s="17"/>
    </row>
    <row r="8" ht="14" spans="1:11">
      <c r="A8" s="19" t="s">
        <v>107</v>
      </c>
      <c r="B8" s="24">
        <f>SUM(Forecast!C10:N10)</f>
        <v>57992.2508121455</v>
      </c>
      <c r="C8" s="25">
        <f t="shared" ref="C8:F8" si="1">C6*C9</f>
        <v>69590.7009745747</v>
      </c>
      <c r="D8" s="25">
        <f t="shared" si="1"/>
        <v>80029.3061207609</v>
      </c>
      <c r="E8" s="25">
        <f t="shared" si="1"/>
        <v>88032.2367328369</v>
      </c>
      <c r="F8" s="25">
        <f t="shared" si="1"/>
        <v>93314.1709368072</v>
      </c>
      <c r="G8" s="17"/>
      <c r="H8" s="17"/>
      <c r="I8" s="17"/>
      <c r="J8" s="17"/>
      <c r="K8" s="17"/>
    </row>
    <row r="9" ht="14" spans="1:11">
      <c r="A9" s="11" t="s">
        <v>108</v>
      </c>
      <c r="B9" s="26">
        <f>IF(B6=0,0,B8/B6)</f>
        <v>0.495904724938702</v>
      </c>
      <c r="C9" s="26">
        <f>B9+Assumptions!$B$22</f>
        <v>0.495904724938702</v>
      </c>
      <c r="D9" s="26">
        <f>C9+Assumptions!$B$22</f>
        <v>0.495904724938702</v>
      </c>
      <c r="E9" s="26">
        <f>D9+Assumptions!$B$22</f>
        <v>0.495904724938702</v>
      </c>
      <c r="F9" s="26">
        <f>E9+Assumptions!$B$22</f>
        <v>0.495904724938702</v>
      </c>
      <c r="G9" s="17"/>
      <c r="H9" s="17"/>
      <c r="I9" s="17"/>
      <c r="J9" s="17"/>
      <c r="K9" s="17"/>
    </row>
    <row r="10" ht="14" spans="1:11">
      <c r="A10" s="11" t="s">
        <v>109</v>
      </c>
      <c r="B10" s="14">
        <f>-MAX(0,B8)*Assumptions!$B$12</f>
        <v>-11598.4501624291</v>
      </c>
      <c r="C10" s="14">
        <f>-MAX(0,C8)*Assumptions!$B$12</f>
        <v>-13918.1401949149</v>
      </c>
      <c r="D10" s="14">
        <f>-MAX(0,D8)*Assumptions!$B$12</f>
        <v>-16005.8612241522</v>
      </c>
      <c r="E10" s="14">
        <f>-MAX(0,E8)*Assumptions!$B$12</f>
        <v>-17606.4473465674</v>
      </c>
      <c r="F10" s="14">
        <f>-MAX(0,F8)*Assumptions!$B$12</f>
        <v>-18662.8341873614</v>
      </c>
      <c r="G10" s="17"/>
      <c r="H10" s="17"/>
      <c r="I10" s="17"/>
      <c r="J10" s="17"/>
      <c r="K10" s="17"/>
    </row>
    <row r="11" ht="14" spans="1:11">
      <c r="A11" s="19" t="s">
        <v>110</v>
      </c>
      <c r="B11" s="27">
        <f t="shared" ref="B11:F11" si="2">B8+B10</f>
        <v>46393.8006497164</v>
      </c>
      <c r="C11" s="27">
        <f t="shared" si="2"/>
        <v>55672.5607796597</v>
      </c>
      <c r="D11" s="27">
        <f t="shared" si="2"/>
        <v>64023.4448966087</v>
      </c>
      <c r="E11" s="27">
        <f t="shared" si="2"/>
        <v>70425.7893862695</v>
      </c>
      <c r="F11" s="27">
        <f t="shared" si="2"/>
        <v>74651.3367494457</v>
      </c>
      <c r="G11" s="17"/>
      <c r="H11" s="17"/>
      <c r="I11" s="17"/>
      <c r="J11" s="17"/>
      <c r="K11" s="17"/>
    </row>
    <row r="12" ht="14" spans="1:11">
      <c r="A12" s="11" t="s">
        <v>111</v>
      </c>
      <c r="B12" s="21">
        <f>SUM(Forecast!C28:N29)</f>
        <v>-1686.031348451</v>
      </c>
      <c r="C12" s="14">
        <f t="shared" ref="C12:F12" si="3">-(C6-B6)*$B$32</f>
        <v>-637.2062696902</v>
      </c>
      <c r="D12" s="14">
        <f t="shared" si="3"/>
        <v>-573.48564272118</v>
      </c>
      <c r="E12" s="14">
        <f t="shared" si="3"/>
        <v>-439.672326086238</v>
      </c>
      <c r="F12" s="14">
        <f t="shared" si="3"/>
        <v>-290.183735216917</v>
      </c>
      <c r="G12" s="17"/>
      <c r="H12" s="17"/>
      <c r="I12" s="17"/>
      <c r="J12" s="17"/>
      <c r="K12" s="17"/>
    </row>
    <row r="13" ht="14" spans="1:11">
      <c r="A13" s="19" t="s">
        <v>99</v>
      </c>
      <c r="B13" s="27">
        <f t="shared" ref="B13:F13" si="4">B11+B12</f>
        <v>44707.7693012654</v>
      </c>
      <c r="C13" s="27">
        <f t="shared" si="4"/>
        <v>55035.3545099695</v>
      </c>
      <c r="D13" s="27">
        <f t="shared" si="4"/>
        <v>63449.9592538875</v>
      </c>
      <c r="E13" s="27">
        <f t="shared" si="4"/>
        <v>69986.1170601833</v>
      </c>
      <c r="F13" s="27">
        <f t="shared" si="4"/>
        <v>74361.1530142288</v>
      </c>
      <c r="G13" s="17"/>
      <c r="H13" s="17"/>
      <c r="I13" s="17"/>
      <c r="J13" s="17"/>
      <c r="K13" s="17"/>
    </row>
    <row r="14" ht="14" spans="1:11">
      <c r="A14" s="11" t="s">
        <v>112</v>
      </c>
      <c r="B14" s="28">
        <v>1</v>
      </c>
      <c r="C14" s="29">
        <f t="shared" ref="C14:F14" si="5">B14+1</f>
        <v>2</v>
      </c>
      <c r="D14" s="29">
        <f t="shared" si="5"/>
        <v>3</v>
      </c>
      <c r="E14" s="29">
        <f t="shared" si="5"/>
        <v>4</v>
      </c>
      <c r="F14" s="29">
        <f t="shared" si="5"/>
        <v>5</v>
      </c>
      <c r="G14" s="17"/>
      <c r="H14" s="17"/>
      <c r="I14" s="17"/>
      <c r="J14" s="17"/>
      <c r="K14" s="17"/>
    </row>
    <row r="15" ht="14" spans="1:11">
      <c r="A15" s="11" t="s">
        <v>113</v>
      </c>
      <c r="B15" s="30">
        <f>1/(1+Assumptions!$B$16)^B14</f>
        <v>0.892857142857143</v>
      </c>
      <c r="C15" s="30">
        <f>1/(1+Assumptions!$B$16)^C14</f>
        <v>0.79719387755102</v>
      </c>
      <c r="D15" s="30">
        <f>1/(1+Assumptions!$B$16)^D14</f>
        <v>0.711780247813411</v>
      </c>
      <c r="E15" s="30">
        <f>1/(1+Assumptions!$B$16)^E14</f>
        <v>0.635518078404831</v>
      </c>
      <c r="F15" s="30">
        <f>1/(1+Assumptions!$B$16)^F14</f>
        <v>0.567426855718599</v>
      </c>
      <c r="G15" s="17"/>
      <c r="H15" s="17"/>
      <c r="I15" s="17"/>
      <c r="J15" s="17"/>
      <c r="K15" s="17"/>
    </row>
    <row r="16" ht="14" spans="1:11">
      <c r="A16" s="19" t="s">
        <v>114</v>
      </c>
      <c r="B16" s="25">
        <f t="shared" ref="B16:F16" si="6">B13*B15</f>
        <v>39917.6511618441</v>
      </c>
      <c r="C16" s="25">
        <f t="shared" si="6"/>
        <v>43873.8476641976</v>
      </c>
      <c r="D16" s="25">
        <f t="shared" si="6"/>
        <v>45162.4277214829</v>
      </c>
      <c r="E16" s="25">
        <f t="shared" si="6"/>
        <v>44477.4426291033</v>
      </c>
      <c r="F16" s="25">
        <f t="shared" si="6"/>
        <v>42194.5152424735</v>
      </c>
      <c r="G16" s="17"/>
      <c r="H16" s="17"/>
      <c r="I16" s="17"/>
      <c r="J16" s="17"/>
      <c r="K16" s="17"/>
    </row>
    <row r="17" ht="14" spans="1:1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ht="14" spans="1:11">
      <c r="A18" s="1" t="s">
        <v>115</v>
      </c>
      <c r="B18" s="31"/>
      <c r="C18" s="17"/>
      <c r="D18" s="17"/>
      <c r="E18" s="17"/>
      <c r="F18" s="17"/>
      <c r="G18" s="17"/>
      <c r="H18" s="17"/>
      <c r="I18" s="17"/>
      <c r="J18" s="17"/>
      <c r="K18" s="17"/>
    </row>
    <row r="19" ht="14" spans="1:11">
      <c r="A19" s="11" t="s">
        <v>116</v>
      </c>
      <c r="B19" s="14">
        <f>SUM(B16:F16)</f>
        <v>215625.884419101</v>
      </c>
      <c r="C19" s="17"/>
      <c r="D19" s="17"/>
      <c r="E19" s="17"/>
      <c r="F19" s="17"/>
      <c r="G19" s="17"/>
      <c r="H19" s="17"/>
      <c r="I19" s="17"/>
      <c r="J19" s="17"/>
      <c r="K19" s="17"/>
    </row>
    <row r="20" ht="14" spans="1:11">
      <c r="A20" s="11" t="s">
        <v>117</v>
      </c>
      <c r="B20" s="14">
        <f>F13</f>
        <v>74361.1530142288</v>
      </c>
      <c r="C20" s="17"/>
      <c r="D20" s="17"/>
      <c r="E20" s="17"/>
      <c r="F20" s="17"/>
      <c r="G20" s="17"/>
      <c r="H20" s="17"/>
      <c r="I20" s="17"/>
      <c r="J20" s="17"/>
      <c r="K20" s="17"/>
    </row>
    <row r="21" ht="15.75" customHeight="1" spans="1:11">
      <c r="A21" s="11" t="s">
        <v>118</v>
      </c>
      <c r="B21" s="14">
        <f>IF(Assumptions!B16&gt;Assumptions!B17,F13*(1+Assumptions!B17)/(Assumptions!B16-Assumptions!B17),0)</f>
        <v>802317.703574574</v>
      </c>
      <c r="C21" s="17"/>
      <c r="D21" s="17"/>
      <c r="E21" s="17"/>
      <c r="F21" s="17"/>
      <c r="G21" s="17"/>
      <c r="H21" s="17"/>
      <c r="I21" s="17"/>
      <c r="J21" s="17"/>
      <c r="K21" s="17"/>
    </row>
    <row r="22" ht="15.75" customHeight="1" spans="1:11">
      <c r="A22" s="11" t="s">
        <v>119</v>
      </c>
      <c r="B22" s="14">
        <f>B21*F15</f>
        <v>455256.611826688</v>
      </c>
      <c r="C22" s="17"/>
      <c r="D22" s="17"/>
      <c r="E22" s="17"/>
      <c r="F22" s="17"/>
      <c r="G22" s="17"/>
      <c r="H22" s="17"/>
      <c r="I22" s="17"/>
      <c r="J22" s="17"/>
      <c r="K22" s="17"/>
    </row>
    <row r="23" ht="15.75" customHeight="1" spans="1:11">
      <c r="A23" s="19" t="s">
        <v>120</v>
      </c>
      <c r="B23" s="27">
        <f>B19+B22</f>
        <v>670882.496245789</v>
      </c>
      <c r="C23" s="17"/>
      <c r="D23" s="17"/>
      <c r="E23" s="17"/>
      <c r="F23" s="17"/>
      <c r="G23" s="17"/>
      <c r="H23" s="17"/>
      <c r="I23" s="17"/>
      <c r="J23" s="17"/>
      <c r="K23" s="17"/>
    </row>
    <row r="24" ht="15.75" customHeight="1" spans="1:11">
      <c r="A24" s="11" t="s">
        <v>121</v>
      </c>
      <c r="B24" s="21">
        <f>BS!E12</f>
        <v>10000</v>
      </c>
      <c r="C24" s="17"/>
      <c r="D24" s="17"/>
      <c r="E24" s="17"/>
      <c r="F24" s="17"/>
      <c r="G24" s="17"/>
      <c r="H24" s="17"/>
      <c r="I24" s="17"/>
      <c r="J24" s="17"/>
      <c r="K24" s="17"/>
    </row>
    <row r="25" ht="15.75" customHeight="1" spans="1:11">
      <c r="A25" s="11" t="s">
        <v>122</v>
      </c>
      <c r="B25" s="21">
        <f>BS!E6</f>
        <v>24700</v>
      </c>
      <c r="C25" s="17"/>
      <c r="D25" s="17"/>
      <c r="E25" s="17"/>
      <c r="F25" s="17"/>
      <c r="G25" s="17"/>
      <c r="H25" s="17"/>
      <c r="I25" s="17"/>
      <c r="J25" s="17"/>
      <c r="K25" s="17"/>
    </row>
    <row r="26" ht="15.75" customHeight="1" spans="1:11">
      <c r="A26" s="19" t="s">
        <v>123</v>
      </c>
      <c r="B26" s="32">
        <f>B23-B24+B25</f>
        <v>685582.496245789</v>
      </c>
      <c r="C26" s="17"/>
      <c r="D26" s="17"/>
      <c r="E26" s="17"/>
      <c r="F26" s="17"/>
      <c r="G26" s="17"/>
      <c r="H26" s="17"/>
      <c r="I26" s="17"/>
      <c r="J26" s="17"/>
      <c r="K26" s="17"/>
    </row>
    <row r="27" ht="15.75" customHeight="1" spans="1:11">
      <c r="A27" s="11" t="s">
        <v>124</v>
      </c>
      <c r="B27" s="26">
        <f>IF(B23=0,0,B22/B23)</f>
        <v>0.678593664873165</v>
      </c>
      <c r="C27" s="17"/>
      <c r="D27" s="17"/>
      <c r="E27" s="17"/>
      <c r="F27" s="17"/>
      <c r="G27" s="17"/>
      <c r="H27" s="17"/>
      <c r="I27" s="17"/>
      <c r="J27" s="17"/>
      <c r="K27" s="17"/>
    </row>
    <row r="28" ht="15.75" customHeight="1" spans="1:11">
      <c r="A28" s="11" t="s">
        <v>125</v>
      </c>
      <c r="B28" s="33">
        <f>IF(B6=0,0,B23/B6)</f>
        <v>5.73686647970699</v>
      </c>
      <c r="C28" s="17"/>
      <c r="D28" s="17"/>
      <c r="E28" s="17"/>
      <c r="F28" s="17"/>
      <c r="G28" s="17"/>
      <c r="H28" s="17"/>
      <c r="I28" s="17"/>
      <c r="J28" s="17"/>
      <c r="K28" s="17"/>
    </row>
    <row r="29" ht="15.75" customHeight="1" spans="1:11">
      <c r="A29" s="11" t="s">
        <v>126</v>
      </c>
      <c r="B29" s="33">
        <f>IF(B8&gt;0,B23/B8,0)</f>
        <v>11.5684852174298</v>
      </c>
      <c r="C29" s="17"/>
      <c r="D29" s="17"/>
      <c r="E29" s="17"/>
      <c r="F29" s="17"/>
      <c r="G29" s="17"/>
      <c r="H29" s="17"/>
      <c r="I29" s="17"/>
      <c r="J29" s="17"/>
      <c r="K29" s="17"/>
    </row>
    <row r="30" ht="15.75" customHeight="1" spans="1:1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ht="15.75" customHeight="1" spans="1:1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ht="15.75" customHeight="1" spans="1:11">
      <c r="A32" s="11" t="s">
        <v>127</v>
      </c>
      <c r="B32" s="26">
        <f>IF(B6=0,0,(Forecast!N18-Forecast!N20)/B6)</f>
        <v>0.0272444676206425</v>
      </c>
      <c r="C32" s="17"/>
      <c r="D32" s="17"/>
      <c r="E32" s="17"/>
      <c r="F32" s="17"/>
      <c r="G32" s="17"/>
      <c r="H32" s="17"/>
      <c r="I32" s="17"/>
      <c r="J32" s="17"/>
      <c r="K32" s="17"/>
    </row>
    <row r="33" ht="15.75" customHeight="1" spans="1:1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ht="15.75" customHeight="1" spans="1:11">
      <c r="A34" s="19" t="s">
        <v>128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ht="15.75" customHeight="1" spans="1:11">
      <c r="A35" s="1" t="s">
        <v>129</v>
      </c>
      <c r="B35" s="34">
        <f>Assumptions!$B$17+(-0.01)</f>
        <v>0.015</v>
      </c>
      <c r="C35" s="34">
        <f>Assumptions!$B$17+(-0.005)</f>
        <v>0.02</v>
      </c>
      <c r="D35" s="34">
        <f>Assumptions!$B$17</f>
        <v>0.025</v>
      </c>
      <c r="E35" s="34">
        <f>Assumptions!$B$17+(0.005)</f>
        <v>0.03</v>
      </c>
      <c r="F35" s="34">
        <f>Assumptions!$B$17+(0.01)</f>
        <v>0.035</v>
      </c>
      <c r="G35" s="17"/>
      <c r="H35" s="17"/>
      <c r="I35" s="17"/>
      <c r="J35" s="17"/>
      <c r="K35" s="17"/>
    </row>
    <row r="36" ht="15.75" customHeight="1" spans="1:11">
      <c r="A36" s="35">
        <f>Assumptions!$B$16+(-0.02)</f>
        <v>0.1</v>
      </c>
      <c r="B36" s="36">
        <f t="shared" ref="B36:F36" si="7">IF($A36&gt;B$35,SUMPRODUCT($B$13:$F$13/(1+$A36)^$B$14:$F$14)+$F$13*(1+B$35)/($A36-B$35)/(1+$A36)^$F$14-$B$24+$B$25,"n/a")</f>
        <v>793825.050489414</v>
      </c>
      <c r="C36" s="36">
        <f t="shared" si="7"/>
        <v>831170.394654987</v>
      </c>
      <c r="D36" s="36">
        <f t="shared" si="7"/>
        <v>873495.118042637</v>
      </c>
      <c r="E36" s="36">
        <f t="shared" si="7"/>
        <v>921866.230485664</v>
      </c>
      <c r="F36" s="36">
        <f t="shared" si="7"/>
        <v>977679.052535312</v>
      </c>
      <c r="G36" s="17"/>
      <c r="H36" s="17"/>
      <c r="I36" s="17"/>
      <c r="J36" s="17"/>
      <c r="K36" s="17"/>
    </row>
    <row r="37" ht="15.75" customHeight="1" spans="1:11">
      <c r="A37" s="35">
        <f>Assumptions!$B$16+(-0.01)</f>
        <v>0.11</v>
      </c>
      <c r="B37" s="36">
        <f t="shared" ref="B37:F37" si="8">IF($A37&gt;B$35,SUMPRODUCT($B$13:$F$13/(1+$A37)^$B$14:$F$14)+$F$13*(1+B$35)/($A37-B$35)/(1+$A37)^$F$14-$B$24+$B$25,"n/a")</f>
        <v>707762.281912297</v>
      </c>
      <c r="C37" s="36">
        <f t="shared" si="8"/>
        <v>736407.892885167</v>
      </c>
      <c r="D37" s="36">
        <f t="shared" si="8"/>
        <v>768423.575737199</v>
      </c>
      <c r="E37" s="36">
        <f t="shared" si="8"/>
        <v>804441.218945734</v>
      </c>
      <c r="F37" s="36">
        <f t="shared" si="8"/>
        <v>845261.214582074</v>
      </c>
      <c r="G37" s="17"/>
      <c r="H37" s="17"/>
      <c r="I37" s="17"/>
      <c r="J37" s="17"/>
      <c r="K37" s="17"/>
    </row>
    <row r="38" ht="15.75" customHeight="1" spans="1:11">
      <c r="A38" s="35">
        <f>Assumptions!$B$16</f>
        <v>0.12</v>
      </c>
      <c r="B38" s="36">
        <f t="shared" ref="B38:F38" si="9">IF($A38&gt;B$35,SUMPRODUCT($B$13:$F$13/(1+$A38)^$B$14:$F$14)+$F$13*(1+B$35)/($A38-B$35)/(1+$A38)^$F$14-$B$24+$B$25,"n/a")</f>
        <v>638206.198429678</v>
      </c>
      <c r="C38" s="36">
        <f t="shared" si="9"/>
        <v>660709.939892331</v>
      </c>
      <c r="D38" s="37">
        <f t="shared" si="9"/>
        <v>685582.496245789</v>
      </c>
      <c r="E38" s="36">
        <f t="shared" si="9"/>
        <v>713218.669971853</v>
      </c>
      <c r="F38" s="36">
        <f t="shared" si="9"/>
        <v>744106.158253926</v>
      </c>
      <c r="G38" s="17"/>
      <c r="H38" s="17"/>
      <c r="I38" s="17"/>
      <c r="J38" s="17"/>
      <c r="K38" s="17"/>
    </row>
    <row r="39" ht="15.75" customHeight="1" spans="1:11">
      <c r="A39" s="35">
        <f>Assumptions!$B$16+(0.01)</f>
        <v>0.13</v>
      </c>
      <c r="B39" s="36">
        <f t="shared" ref="B39:F39" si="10">IF($A39&gt;B$35,SUMPRODUCT($B$13:$F$13/(1+$A39)^$B$14:$F$14)+$F$13*(1+B$35)/($A39-B$35)/(1+$A39)^$F$14-$B$24+$B$25,"n/a")</f>
        <v>580846.325579108</v>
      </c>
      <c r="C39" s="36">
        <f t="shared" si="10"/>
        <v>598872.842478499</v>
      </c>
      <c r="D39" s="36">
        <f t="shared" si="10"/>
        <v>618616.170511165</v>
      </c>
      <c r="E39" s="36">
        <f t="shared" si="10"/>
        <v>640333.831347097</v>
      </c>
      <c r="F39" s="36">
        <f t="shared" si="10"/>
        <v>664337.561744707</v>
      </c>
      <c r="G39" s="17"/>
      <c r="H39" s="17"/>
      <c r="I39" s="17"/>
      <c r="J39" s="17"/>
      <c r="K39" s="17"/>
    </row>
    <row r="40" ht="15.75" customHeight="1" spans="1:11">
      <c r="A40" s="35">
        <f>Assumptions!$B$16+(0.02)</f>
        <v>0.14</v>
      </c>
      <c r="B40" s="36">
        <f t="shared" ref="B40:F40" si="11">IF($A40&gt;B$35,SUMPRODUCT($B$13:$F$13/(1+$A40)^$B$14:$F$14)+$F$13*(1+B$35)/($A40-B$35)/(1+$A40)^$F$14-$B$24+$B$25,"n/a")</f>
        <v>532751.751325074</v>
      </c>
      <c r="C40" s="36">
        <f t="shared" si="11"/>
        <v>547427.675359151</v>
      </c>
      <c r="D40" s="36">
        <f t="shared" si="11"/>
        <v>563379.766700539</v>
      </c>
      <c r="E40" s="36">
        <f t="shared" si="11"/>
        <v>580782.048163872</v>
      </c>
      <c r="F40" s="36">
        <f t="shared" si="11"/>
        <v>599841.68976657</v>
      </c>
      <c r="G40" s="17"/>
      <c r="H40" s="17"/>
      <c r="I40" s="17"/>
      <c r="J40" s="17"/>
      <c r="K40" s="17"/>
    </row>
    <row r="41" ht="15.75" customHeight="1" spans="1:1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ht="15.75" customHeight="1" spans="1:11">
      <c r="A42" s="18" t="s">
        <v>130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ht="15.75" customHeight="1" spans="1:11">
      <c r="A43" s="18" t="s">
        <v>131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ht="15.75" customHeight="1" spans="1:11">
      <c r="A44" s="18" t="s">
        <v>132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ht="15.75" customHeight="1" spans="1:11">
      <c r="A45" s="18" t="s">
        <v>133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ht="15.75" customHeight="1" spans="1:1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ht="15.75" customHeight="1" spans="1:1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ht="15.75" customHeight="1" spans="1:1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ht="15.75" customHeight="1" spans="1:1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ht="15.75" customHeight="1" spans="1:1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ht="15.75" customHeight="1" spans="1:1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ht="15.75" customHeight="1" spans="1:1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14.4296875" defaultRowHeight="15" customHeight="1" outlineLevelCol="4"/>
  <cols>
    <col min="1" max="1" width="48" customWidth="1"/>
    <col min="2" max="2" width="18" customWidth="1"/>
    <col min="3" max="3" width="12" customWidth="1"/>
    <col min="4" max="4" width="10" customWidth="1"/>
    <col min="5" max="5" width="70" customWidth="1"/>
    <col min="6" max="26" width="8.7109375" customWidth="1"/>
  </cols>
  <sheetData>
    <row r="1" ht="14" spans="1:5">
      <c r="A1" s="19" t="s">
        <v>134</v>
      </c>
      <c r="B1" s="17"/>
      <c r="C1" s="17"/>
      <c r="D1" s="17"/>
      <c r="E1" s="17"/>
    </row>
    <row r="2" ht="14" spans="1:5">
      <c r="A2" s="17"/>
      <c r="B2" s="17"/>
      <c r="C2" s="17"/>
      <c r="D2" s="17"/>
      <c r="E2" s="17"/>
    </row>
    <row r="3" ht="14" spans="1:5">
      <c r="A3" s="1" t="s">
        <v>135</v>
      </c>
      <c r="B3" s="1" t="s">
        <v>136</v>
      </c>
      <c r="C3" s="1" t="s">
        <v>137</v>
      </c>
      <c r="D3" s="1" t="s">
        <v>138</v>
      </c>
      <c r="E3" s="1" t="s">
        <v>139</v>
      </c>
    </row>
    <row r="4" ht="14" spans="1:5">
      <c r="A4" s="11" t="s">
        <v>140</v>
      </c>
      <c r="B4" s="14">
        <f>SUM(Ledger!D2:D500)-SUM(Ledger!E2:E500)</f>
        <v>0</v>
      </c>
      <c r="C4" s="4">
        <v>0</v>
      </c>
      <c r="D4" s="19" t="str">
        <f t="shared" ref="D4:D19" si="0">IF(B4=C4,"PASS","FAIL")</f>
        <v>PASS</v>
      </c>
      <c r="E4" s="11" t="s">
        <v>141</v>
      </c>
    </row>
    <row r="5" ht="14" spans="1:5">
      <c r="A5" s="11" t="s">
        <v>142</v>
      </c>
      <c r="B5" s="14">
        <f>COUNTIF(Ledger!H2:H500,"UNMAPPED")</f>
        <v>0</v>
      </c>
      <c r="C5" s="4">
        <v>0</v>
      </c>
      <c r="D5" s="19" t="str">
        <f t="shared" si="0"/>
        <v>PASS</v>
      </c>
      <c r="E5" s="11" t="s">
        <v>143</v>
      </c>
    </row>
    <row r="6" ht="14" spans="1:5">
      <c r="A6" s="11" t="s">
        <v>144</v>
      </c>
      <c r="B6" s="14" t="str">
        <f t="array" ref="B6">IFERROR(INDEX(Ledger!B2:B500,MATCH("UNMAPPED",Ledger!H2:H500,0)),"none")</f>
        <v>none</v>
      </c>
      <c r="C6" s="4" t="s">
        <v>145</v>
      </c>
      <c r="D6" s="19" t="str">
        <f t="shared" si="0"/>
        <v>PASS</v>
      </c>
      <c r="E6" s="11" t="s">
        <v>146</v>
      </c>
    </row>
    <row r="7" ht="14" spans="1:5">
      <c r="A7" s="11" t="s">
        <v>147</v>
      </c>
      <c r="B7" s="14">
        <f>PL!F9-(SUMIFS(Ledger!J2:J500,Ledger!G2:G500,"Revenue")-SUMIFS(Ledger!J2:J500,Ledger!G2:G500,"COGS")-SUMIFS(Ledger!J2:J500,Ledger!G2:G500,"Opex"))</f>
        <v>0</v>
      </c>
      <c r="C7" s="4">
        <v>0</v>
      </c>
      <c r="D7" s="19" t="str">
        <f t="shared" si="0"/>
        <v>PASS</v>
      </c>
      <c r="E7" s="11" t="s">
        <v>148</v>
      </c>
    </row>
    <row r="8" ht="14" spans="1:5">
      <c r="A8" s="11" t="s">
        <v>149</v>
      </c>
      <c r="B8" s="14">
        <f>SUMIFS(Ledger!E2:E500,Ledger!B2:B500,2500)-SUMIFS(Ledger!D2:D500,Ledger!B2:B500,2500)</f>
        <v>10000</v>
      </c>
      <c r="C8" s="4">
        <v>10000</v>
      </c>
      <c r="D8" s="19" t="str">
        <f t="shared" si="0"/>
        <v>PASS</v>
      </c>
      <c r="E8" s="11" t="s">
        <v>150</v>
      </c>
    </row>
    <row r="9" ht="14" spans="1:5">
      <c r="A9" s="11" t="s">
        <v>151</v>
      </c>
      <c r="B9" s="14">
        <f>PL!C9</f>
        <v>2700</v>
      </c>
      <c r="C9" s="4">
        <v>2700</v>
      </c>
      <c r="D9" s="19" t="str">
        <f t="shared" si="0"/>
        <v>PASS</v>
      </c>
      <c r="E9" s="11" t="s">
        <v>152</v>
      </c>
    </row>
    <row r="10" ht="14" spans="1:5">
      <c r="A10" s="11" t="s">
        <v>153</v>
      </c>
      <c r="B10" s="14">
        <f>SUMPRODUCT(ABS(BS!B20:E20))</f>
        <v>0</v>
      </c>
      <c r="C10" s="4">
        <v>0</v>
      </c>
      <c r="D10" s="19" t="str">
        <f t="shared" si="0"/>
        <v>PASS</v>
      </c>
      <c r="E10" s="11" t="s">
        <v>154</v>
      </c>
    </row>
    <row r="11" ht="14" spans="1:5">
      <c r="A11" s="11" t="s">
        <v>155</v>
      </c>
      <c r="B11" s="14">
        <f>SUMPRODUCT(ABS(CF!B20:E20))</f>
        <v>0</v>
      </c>
      <c r="C11" s="4">
        <v>0</v>
      </c>
      <c r="D11" s="19" t="str">
        <f t="shared" si="0"/>
        <v>PASS</v>
      </c>
      <c r="E11" s="11" t="s">
        <v>156</v>
      </c>
    </row>
    <row r="12" ht="14" spans="1:5">
      <c r="A12" s="11" t="s">
        <v>157</v>
      </c>
      <c r="B12" s="14">
        <f>COUNTIFS(Ledger!G2:G500,"Balance Sheet",Ledger!B2:B500,"&lt;&gt;1000",Ledger!B2:B500,"&lt;&gt;1100",Ledger!B2:B500,"&lt;&gt;2000",Ledger!B2:B500,"&lt;&gt;2500")</f>
        <v>0</v>
      </c>
      <c r="C12" s="4">
        <v>0</v>
      </c>
      <c r="D12" s="19" t="str">
        <f t="shared" si="0"/>
        <v>PASS</v>
      </c>
      <c r="E12" s="11" t="s">
        <v>158</v>
      </c>
    </row>
    <row r="13" ht="14" spans="1:5">
      <c r="A13" s="11" t="s">
        <v>159</v>
      </c>
      <c r="B13" s="14">
        <f>BS!D7</f>
        <v>5000</v>
      </c>
      <c r="C13" s="4">
        <v>5000</v>
      </c>
      <c r="D13" s="19" t="str">
        <f t="shared" si="0"/>
        <v>PASS</v>
      </c>
      <c r="E13" s="11" t="s">
        <v>160</v>
      </c>
    </row>
    <row r="14" ht="14" spans="1:5">
      <c r="A14" s="11" t="s">
        <v>161</v>
      </c>
      <c r="B14" s="14">
        <f>ROUND(SUMPRODUCT(ABS(Forecast!B24:N24)),2)</f>
        <v>0</v>
      </c>
      <c r="C14" s="4">
        <v>0</v>
      </c>
      <c r="D14" s="19" t="str">
        <f t="shared" si="0"/>
        <v>PASS</v>
      </c>
      <c r="E14" s="11" t="s">
        <v>162</v>
      </c>
    </row>
    <row r="15" ht="14" spans="1:5">
      <c r="A15" s="11" t="s">
        <v>163</v>
      </c>
      <c r="B15" s="14">
        <f>ROUND(Forecast!B14-PL!E9,2)</f>
        <v>0</v>
      </c>
      <c r="C15" s="4">
        <v>0</v>
      </c>
      <c r="D15" s="19" t="str">
        <f t="shared" si="0"/>
        <v>PASS</v>
      </c>
      <c r="E15" s="11" t="s">
        <v>164</v>
      </c>
    </row>
    <row r="16" ht="14" spans="1:5">
      <c r="A16" s="11" t="s">
        <v>165</v>
      </c>
      <c r="B16" s="14">
        <f>COUNTIF(Forecast!C17:N17,"&lt;0")</f>
        <v>0</v>
      </c>
      <c r="C16" s="4">
        <v>0</v>
      </c>
      <c r="D16" s="19" t="str">
        <f t="shared" si="0"/>
        <v>PASS</v>
      </c>
      <c r="E16" s="11" t="s">
        <v>166</v>
      </c>
    </row>
    <row r="17" ht="14" spans="1:5">
      <c r="A17" s="11" t="s">
        <v>167</v>
      </c>
      <c r="B17" s="14">
        <f>IF(Assumptions!B16&gt;Assumptions!B17,0,1)</f>
        <v>0</v>
      </c>
      <c r="C17" s="4">
        <v>0</v>
      </c>
      <c r="D17" s="19" t="str">
        <f t="shared" si="0"/>
        <v>PASS</v>
      </c>
      <c r="E17" s="11" t="s">
        <v>168</v>
      </c>
    </row>
    <row r="18" ht="14" spans="1:5">
      <c r="A18" s="11" t="s">
        <v>169</v>
      </c>
      <c r="B18" s="14">
        <f>ROUND(DCF!D38-DCF!B26,2)</f>
        <v>0</v>
      </c>
      <c r="C18" s="4">
        <v>0</v>
      </c>
      <c r="D18" s="19" t="str">
        <f t="shared" si="0"/>
        <v>PASS</v>
      </c>
      <c r="E18" s="11" t="s">
        <v>170</v>
      </c>
    </row>
    <row r="19" ht="14" spans="1:5">
      <c r="A19" s="11" t="s">
        <v>171</v>
      </c>
      <c r="B19" s="14">
        <f>IF(DCF!B27&gt;0.85,1,0)</f>
        <v>0</v>
      </c>
      <c r="C19" s="4">
        <v>0</v>
      </c>
      <c r="D19" s="19" t="str">
        <f t="shared" si="0"/>
        <v>PASS</v>
      </c>
      <c r="E19" s="11" t="s">
        <v>172</v>
      </c>
    </row>
    <row r="20" ht="14" spans="1:5">
      <c r="A20" s="17"/>
      <c r="B20" s="17"/>
      <c r="C20" s="17"/>
      <c r="D20" s="17"/>
      <c r="E20" s="17"/>
    </row>
    <row r="21" ht="15.75" customHeight="1" spans="1:5">
      <c r="A21" s="19" t="s">
        <v>173</v>
      </c>
      <c r="B21" s="19" t="str">
        <f>IF(COUNTIF(D4:D19,"FAIL")=0,"ALL CHECKS PASS",COUNTIF(D4:D19,"FAIL")&amp;" CHECK(S) FAILING")</f>
        <v>ALL CHECKS PASS</v>
      </c>
      <c r="C21" s="17"/>
      <c r="D21" s="17"/>
      <c r="E21" s="17"/>
    </row>
    <row r="22" ht="15.75" customHeight="1" spans="1:5">
      <c r="A22" s="17"/>
      <c r="B22" s="17"/>
      <c r="C22" s="17"/>
      <c r="D22" s="17"/>
      <c r="E22" s="17"/>
    </row>
    <row r="23" ht="15.75" customHeight="1" spans="1:5">
      <c r="A23" s="18" t="s">
        <v>174</v>
      </c>
      <c r="B23" s="17"/>
      <c r="C23" s="17"/>
      <c r="D23" s="17"/>
      <c r="E23" s="17"/>
    </row>
    <row r="24" ht="15.75" customHeight="1" spans="1:5">
      <c r="A24" s="17"/>
      <c r="B24" s="17"/>
      <c r="C24" s="17"/>
      <c r="D24" s="17"/>
      <c r="E24" s="17"/>
    </row>
    <row r="25" ht="15.75" customHeight="1" spans="1:5">
      <c r="A25" s="17"/>
      <c r="B25" s="17"/>
      <c r="C25" s="17"/>
      <c r="D25" s="17"/>
      <c r="E25" s="17"/>
    </row>
    <row r="26" ht="15.75" customHeight="1" spans="1:5">
      <c r="A26" s="17"/>
      <c r="B26" s="17"/>
      <c r="C26" s="17"/>
      <c r="D26" s="17"/>
      <c r="E26" s="17"/>
    </row>
    <row r="27" ht="15.75" customHeight="1" spans="1:5">
      <c r="A27" s="17"/>
      <c r="B27" s="17"/>
      <c r="C27" s="17"/>
      <c r="D27" s="17"/>
      <c r="E27" s="17"/>
    </row>
    <row r="28" ht="15.75" customHeight="1" spans="1:5">
      <c r="A28" s="17"/>
      <c r="B28" s="17"/>
      <c r="C28" s="17"/>
      <c r="D28" s="17"/>
      <c r="E28" s="17"/>
    </row>
    <row r="29" ht="15.75" customHeight="1" spans="1:5">
      <c r="A29" s="17"/>
      <c r="B29" s="17"/>
      <c r="C29" s="17"/>
      <c r="D29" s="17"/>
      <c r="E29" s="1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1">
    <cfRule type="expression" dxfId="0" priority="3">
      <formula>LEFT($B$21,3)&lt;&gt;"ALL"</formula>
    </cfRule>
    <cfRule type="expression" dxfId="1" priority="4">
      <formula>LEFT($B$21,3)="ALL"</formula>
    </cfRule>
  </conditionalFormatting>
  <conditionalFormatting sqref="D4:D19">
    <cfRule type="cellIs" dxfId="0" priority="1" operator="equal">
      <formula>"FAIL"</formula>
    </cfRule>
    <cfRule type="cellIs" dxfId="1" priority="2" operator="equal">
      <formula>"PASS"</formula>
    </cfRule>
  </conditionalFormatting>
  <pageMargins left="0.75" right="0.75" top="1" bottom="1" header="0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"/>
    </sheetView>
  </sheetViews>
  <sheetFormatPr defaultColWidth="14.4296875" defaultRowHeight="15" customHeight="1" outlineLevelCol="2"/>
  <cols>
    <col min="1" max="1" width="52" customWidth="1"/>
    <col min="2" max="2" width="120" customWidth="1"/>
    <col min="3" max="26" width="8.7109375" customWidth="1"/>
  </cols>
  <sheetData>
    <row r="1" ht="15.75" customHeight="1" spans="1:3">
      <c r="A1" s="19" t="s">
        <v>175</v>
      </c>
      <c r="B1" s="6"/>
      <c r="C1" s="17"/>
    </row>
    <row r="2" ht="14" spans="1:3">
      <c r="A2" s="6"/>
      <c r="B2" s="6"/>
      <c r="C2" s="17"/>
    </row>
    <row r="3" customHeight="1" spans="1:3">
      <c r="A3" s="19" t="s">
        <v>176</v>
      </c>
      <c r="B3" s="11" t="s">
        <v>177</v>
      </c>
      <c r="C3" s="17"/>
    </row>
    <row r="4" customHeight="1" spans="1:3">
      <c r="A4" s="19" t="s">
        <v>178</v>
      </c>
      <c r="B4" s="11" t="s">
        <v>179</v>
      </c>
      <c r="C4" s="17"/>
    </row>
    <row r="5" customHeight="1" spans="1:3">
      <c r="A5" s="19" t="s">
        <v>180</v>
      </c>
      <c r="B5" s="11" t="s">
        <v>181</v>
      </c>
      <c r="C5" s="17"/>
    </row>
    <row r="6" customHeight="1" spans="1:3">
      <c r="A6" s="19" t="s">
        <v>182</v>
      </c>
      <c r="B6" s="11" t="s">
        <v>183</v>
      </c>
      <c r="C6" s="17"/>
    </row>
    <row r="7" customHeight="1" spans="1:3">
      <c r="A7" s="19" t="s">
        <v>184</v>
      </c>
      <c r="B7" s="11" t="s">
        <v>185</v>
      </c>
      <c r="C7" s="17"/>
    </row>
    <row r="8" customHeight="1" spans="1:3">
      <c r="A8" s="19" t="s">
        <v>186</v>
      </c>
      <c r="B8" s="11" t="s">
        <v>187</v>
      </c>
      <c r="C8" s="17"/>
    </row>
    <row r="9" ht="14" spans="1:3">
      <c r="A9" s="6"/>
      <c r="B9" s="6"/>
      <c r="C9" s="17"/>
    </row>
    <row r="10" customHeight="1" spans="1:3">
      <c r="A10" s="19"/>
      <c r="B10" s="11"/>
      <c r="C10" s="17"/>
    </row>
    <row r="11" ht="14" spans="1:3">
      <c r="A11" s="6"/>
      <c r="B11" s="6"/>
      <c r="C11" s="17"/>
    </row>
    <row r="12" customHeight="1" spans="1:3">
      <c r="A12" s="19" t="s">
        <v>188</v>
      </c>
      <c r="B12" s="6"/>
      <c r="C12" s="17"/>
    </row>
    <row r="13" customHeight="1" spans="1:3">
      <c r="A13" s="11" t="s">
        <v>189</v>
      </c>
      <c r="B13" s="6"/>
      <c r="C13" s="17"/>
    </row>
    <row r="14" customHeight="1" spans="1:3">
      <c r="A14" s="11" t="s">
        <v>190</v>
      </c>
      <c r="B14" s="6"/>
      <c r="C14" s="17"/>
    </row>
    <row r="15" ht="14" spans="1:2">
      <c r="A15" s="9"/>
      <c r="B15" s="9"/>
    </row>
    <row r="16" ht="14" spans="1:2">
      <c r="A16" s="9"/>
      <c r="B16" s="9"/>
    </row>
    <row r="17" ht="14" spans="1:2">
      <c r="A17" s="9"/>
      <c r="B17" s="9"/>
    </row>
    <row r="18" ht="14" spans="1:2">
      <c r="A18" s="9"/>
      <c r="B18" s="9"/>
    </row>
    <row r="19" ht="14" spans="1:2">
      <c r="A19" s="9"/>
      <c r="B19" s="9"/>
    </row>
    <row r="20" ht="14" spans="1:2">
      <c r="A20" s="9"/>
      <c r="B20" s="9"/>
    </row>
    <row r="21" ht="15.75" customHeight="1" spans="1:2">
      <c r="A21" s="9"/>
      <c r="B21" s="9"/>
    </row>
    <row r="22" ht="15.75" customHeight="1" spans="1:2">
      <c r="A22" s="9"/>
      <c r="B22" s="9"/>
    </row>
    <row r="23" ht="15.75" customHeight="1" spans="1:2">
      <c r="A23" s="9"/>
      <c r="B23" s="9"/>
    </row>
    <row r="24" ht="15.75" customHeight="1" spans="1:2">
      <c r="A24" s="9"/>
      <c r="B24" s="9"/>
    </row>
    <row r="25" ht="15.75" customHeight="1" spans="1:2">
      <c r="A25" s="9"/>
      <c r="B25" s="9"/>
    </row>
    <row r="26" ht="15.75" customHeight="1" spans="1:2">
      <c r="A26" s="9"/>
      <c r="B26" s="9"/>
    </row>
    <row r="27" ht="15.75" customHeight="1" spans="1:2">
      <c r="A27" s="9"/>
      <c r="B27" s="9"/>
    </row>
    <row r="28" ht="15.75" customHeight="1" spans="1:2">
      <c r="A28" s="9"/>
      <c r="B28" s="9"/>
    </row>
    <row r="29" ht="15.75" customHeight="1" spans="1:2">
      <c r="A29" s="9"/>
      <c r="B29" s="9"/>
    </row>
    <row r="30" ht="15.75" customHeight="1" spans="1:2">
      <c r="A30" s="9"/>
      <c r="B30" s="9"/>
    </row>
    <row r="31" ht="15.75" customHeight="1" spans="1:2">
      <c r="A31" s="9"/>
      <c r="B31" s="9"/>
    </row>
    <row r="32" ht="15.75" customHeight="1" spans="1:2">
      <c r="A32" s="9"/>
      <c r="B32" s="9"/>
    </row>
    <row r="33" ht="15.75" customHeight="1" spans="1:2">
      <c r="A33" s="9"/>
      <c r="B33" s="9"/>
    </row>
    <row r="34" ht="15.75" customHeight="1" spans="1:2">
      <c r="A34" s="9"/>
      <c r="B34" s="9"/>
    </row>
    <row r="35" ht="15.75" customHeight="1" spans="1:2">
      <c r="A35" s="9"/>
      <c r="B35" s="9"/>
    </row>
    <row r="36" ht="15.75" customHeight="1" spans="1:2">
      <c r="A36" s="9"/>
      <c r="B36" s="9"/>
    </row>
    <row r="37" ht="15.75" customHeight="1" spans="1:2">
      <c r="A37" s="9"/>
      <c r="B37" s="9"/>
    </row>
    <row r="38" ht="15.75" customHeight="1" spans="1:2">
      <c r="A38" s="9"/>
      <c r="B38" s="9"/>
    </row>
    <row r="39" ht="15.75" customHeight="1" spans="1:2">
      <c r="A39" s="9"/>
      <c r="B39" s="9"/>
    </row>
    <row r="40" ht="15.75" customHeight="1" spans="1:2">
      <c r="A40" s="9"/>
      <c r="B40" s="9"/>
    </row>
    <row r="41" ht="15.75" customHeight="1" spans="1:2">
      <c r="A41" s="9"/>
      <c r="B41" s="9"/>
    </row>
    <row r="42" ht="15.75" customHeight="1" spans="1:2">
      <c r="A42" s="9"/>
      <c r="B42" s="9"/>
    </row>
    <row r="43" ht="15.75" customHeight="1" spans="1:2">
      <c r="A43" s="9"/>
      <c r="B43" s="9"/>
    </row>
    <row r="44" ht="15.75" customHeight="1" spans="1:2">
      <c r="A44" s="9"/>
      <c r="B44" s="9"/>
    </row>
    <row r="45" ht="15.75" customHeight="1" spans="1:2">
      <c r="A45" s="9"/>
      <c r="B45" s="9"/>
    </row>
    <row r="46" ht="15.75" customHeight="1" spans="1:2">
      <c r="A46" s="9"/>
      <c r="B46" s="9"/>
    </row>
    <row r="47" ht="15.75" customHeight="1" spans="1:2">
      <c r="A47" s="9"/>
      <c r="B47" s="9"/>
    </row>
    <row r="48" ht="15.75" customHeight="1" spans="1:2">
      <c r="A48" s="9"/>
      <c r="B48" s="9"/>
    </row>
    <row r="49" ht="15.75" customHeight="1" spans="1:2">
      <c r="A49" s="9"/>
      <c r="B49" s="9"/>
    </row>
    <row r="50" ht="15.75" customHeight="1" spans="1:2">
      <c r="A50" s="9"/>
      <c r="B50" s="9"/>
    </row>
    <row r="51" ht="15.75" customHeight="1" spans="1:2">
      <c r="A51" s="9"/>
      <c r="B51" s="9"/>
    </row>
    <row r="52" ht="15.75" customHeight="1" spans="1:2">
      <c r="A52" s="9"/>
      <c r="B52" s="9"/>
    </row>
    <row r="53" ht="15.75" customHeight="1" spans="1:2">
      <c r="A53" s="9"/>
      <c r="B53" s="9"/>
    </row>
    <row r="54" ht="15.75" customHeight="1" spans="1:2">
      <c r="A54" s="9"/>
      <c r="B54" s="9"/>
    </row>
    <row r="55" ht="15.75" customHeight="1" spans="1:2">
      <c r="A55" s="9"/>
      <c r="B55" s="9"/>
    </row>
    <row r="56" ht="15.75" customHeight="1" spans="1:2">
      <c r="A56" s="9"/>
      <c r="B56" s="9"/>
    </row>
    <row r="57" ht="15.75" customHeight="1" spans="1:2">
      <c r="A57" s="9"/>
      <c r="B57" s="9"/>
    </row>
    <row r="58" ht="15.75" customHeight="1" spans="1:2">
      <c r="A58" s="9"/>
      <c r="B58" s="9"/>
    </row>
    <row r="59" ht="15.75" customHeight="1" spans="1:2">
      <c r="A59" s="9"/>
      <c r="B59" s="9"/>
    </row>
    <row r="60" ht="15.75" customHeight="1" spans="1:2">
      <c r="A60" s="9"/>
      <c r="B60" s="9"/>
    </row>
    <row r="61" ht="15.75" customHeight="1" spans="1:2">
      <c r="A61" s="9"/>
      <c r="B61" s="9"/>
    </row>
    <row r="62" ht="15.75" customHeight="1" spans="1:2">
      <c r="A62" s="9"/>
      <c r="B62" s="9"/>
    </row>
    <row r="63" ht="15.75" customHeight="1" spans="1:2">
      <c r="A63" s="9"/>
      <c r="B63" s="9"/>
    </row>
    <row r="64" ht="15.75" customHeight="1" spans="1:2">
      <c r="A64" s="9"/>
      <c r="B64" s="9"/>
    </row>
    <row r="65" ht="15.75" customHeight="1" spans="1:2">
      <c r="A65" s="9"/>
      <c r="B65" s="9"/>
    </row>
    <row r="66" ht="15.75" customHeight="1" spans="1:2">
      <c r="A66" s="9"/>
      <c r="B66" s="9"/>
    </row>
    <row r="67" ht="15.75" customHeight="1" spans="1:2">
      <c r="A67" s="9"/>
      <c r="B67" s="9"/>
    </row>
    <row r="68" ht="15.75" customHeight="1" spans="1:2">
      <c r="A68" s="9"/>
      <c r="B68" s="9"/>
    </row>
    <row r="69" ht="15.75" customHeight="1" spans="1:2">
      <c r="A69" s="9"/>
      <c r="B69" s="9"/>
    </row>
    <row r="70" ht="15.75" customHeight="1" spans="1:2">
      <c r="A70" s="9"/>
      <c r="B70" s="9"/>
    </row>
    <row r="71" ht="15.75" customHeight="1" spans="1:2">
      <c r="A71" s="9"/>
      <c r="B71" s="9"/>
    </row>
    <row r="72" ht="15.75" customHeight="1" spans="1:2">
      <c r="A72" s="9"/>
      <c r="B72" s="9"/>
    </row>
    <row r="73" ht="15.75" customHeight="1" spans="1:2">
      <c r="A73" s="9"/>
      <c r="B73" s="9"/>
    </row>
    <row r="74" ht="15.75" customHeight="1" spans="1:2">
      <c r="A74" s="9"/>
      <c r="B74" s="9"/>
    </row>
    <row r="75" ht="15.75" customHeight="1" spans="1:2">
      <c r="A75" s="9"/>
      <c r="B75" s="9"/>
    </row>
    <row r="76" ht="15.75" customHeight="1" spans="1:2">
      <c r="A76" s="9"/>
      <c r="B76" s="9"/>
    </row>
    <row r="77" ht="15.75" customHeight="1" spans="1:2">
      <c r="A77" s="9"/>
      <c r="B77" s="9"/>
    </row>
    <row r="78" ht="15.75" customHeight="1" spans="1:2">
      <c r="A78" s="9"/>
      <c r="B78" s="9"/>
    </row>
    <row r="79" ht="15.75" customHeight="1" spans="1:2">
      <c r="A79" s="9"/>
      <c r="B79" s="9"/>
    </row>
    <row r="80" ht="15.75" customHeight="1" spans="1:2">
      <c r="A80" s="9"/>
      <c r="B80" s="9"/>
    </row>
    <row r="81" ht="15.75" customHeight="1" spans="1:2">
      <c r="A81" s="9"/>
      <c r="B81" s="9"/>
    </row>
    <row r="82" ht="15.75" customHeight="1" spans="1:2">
      <c r="A82" s="9"/>
      <c r="B82" s="9"/>
    </row>
    <row r="83" ht="15.75" customHeight="1" spans="1:2">
      <c r="A83" s="9"/>
      <c r="B83" s="9"/>
    </row>
    <row r="84" ht="15.75" customHeight="1" spans="1:2">
      <c r="A84" s="9"/>
      <c r="B84" s="9"/>
    </row>
    <row r="85" ht="15.75" customHeight="1" spans="1:2">
      <c r="A85" s="9"/>
      <c r="B85" s="9"/>
    </row>
    <row r="86" ht="15.75" customHeight="1" spans="1:2">
      <c r="A86" s="9"/>
      <c r="B86" s="9"/>
    </row>
    <row r="87" ht="15.75" customHeight="1" spans="1:2">
      <c r="A87" s="9"/>
      <c r="B87" s="9"/>
    </row>
    <row r="88" ht="15.75" customHeight="1" spans="1:2">
      <c r="A88" s="9"/>
      <c r="B88" s="9"/>
    </row>
    <row r="89" ht="15.75" customHeight="1" spans="1:2">
      <c r="A89" s="9"/>
      <c r="B89" s="9"/>
    </row>
    <row r="90" ht="15.75" customHeight="1" spans="1:2">
      <c r="A90" s="9"/>
      <c r="B90" s="9"/>
    </row>
    <row r="91" ht="15.75" customHeight="1" spans="1:2">
      <c r="A91" s="9"/>
      <c r="B91" s="9"/>
    </row>
    <row r="92" ht="15.75" customHeight="1" spans="1:2">
      <c r="A92" s="9"/>
      <c r="B92" s="9"/>
    </row>
    <row r="93" ht="15.75" customHeight="1" spans="1:2">
      <c r="A93" s="9"/>
      <c r="B93" s="9"/>
    </row>
    <row r="94" ht="15.75" customHeight="1" spans="1:2">
      <c r="A94" s="9"/>
      <c r="B94" s="9"/>
    </row>
    <row r="95" ht="15.75" customHeight="1" spans="1:2">
      <c r="A95" s="9"/>
      <c r="B95" s="9"/>
    </row>
    <row r="96" ht="15.75" customHeight="1" spans="1:2">
      <c r="A96" s="9"/>
      <c r="B96" s="9"/>
    </row>
    <row r="97" ht="15.75" customHeight="1" spans="1:2">
      <c r="A97" s="9"/>
      <c r="B97" s="9"/>
    </row>
    <row r="98" ht="15.75" customHeight="1" spans="1:2">
      <c r="A98" s="9"/>
      <c r="B98" s="9"/>
    </row>
    <row r="99" ht="15.75" customHeight="1" spans="1:2">
      <c r="A99" s="9"/>
      <c r="B99" s="9"/>
    </row>
    <row r="100" ht="15.75" customHeight="1" spans="1:2">
      <c r="A100" s="9"/>
      <c r="B100" s="9"/>
    </row>
    <row r="101" ht="15.75" customHeight="1" spans="1:2">
      <c r="A101" s="9"/>
      <c r="B101" s="9"/>
    </row>
    <row r="102" ht="15.75" customHeight="1" spans="1:2">
      <c r="A102" s="9"/>
      <c r="B102" s="9"/>
    </row>
    <row r="103" ht="15.75" customHeight="1" spans="1:2">
      <c r="A103" s="9"/>
      <c r="B103" s="9"/>
    </row>
    <row r="104" ht="15.75" customHeight="1" spans="1:2">
      <c r="A104" s="9"/>
      <c r="B104" s="9"/>
    </row>
    <row r="105" ht="15.75" customHeight="1" spans="1:2">
      <c r="A105" s="9"/>
      <c r="B105" s="9"/>
    </row>
    <row r="106" ht="15.75" customHeight="1" spans="1:2">
      <c r="A106" s="9"/>
      <c r="B106" s="9"/>
    </row>
    <row r="107" ht="15.75" customHeight="1" spans="1:2">
      <c r="A107" s="9"/>
      <c r="B107" s="9"/>
    </row>
    <row r="108" ht="15.75" customHeight="1" spans="1:2">
      <c r="A108" s="9"/>
      <c r="B108" s="9"/>
    </row>
    <row r="109" ht="15.75" customHeight="1" spans="1:2">
      <c r="A109" s="9"/>
      <c r="B109" s="9"/>
    </row>
    <row r="110" ht="15.75" customHeight="1" spans="1:2">
      <c r="A110" s="9"/>
      <c r="B110" s="9"/>
    </row>
    <row r="111" ht="15.75" customHeight="1" spans="1:2">
      <c r="A111" s="9"/>
      <c r="B111" s="9"/>
    </row>
    <row r="112" ht="15.75" customHeight="1" spans="1:2">
      <c r="A112" s="9"/>
      <c r="B112" s="9"/>
    </row>
    <row r="113" ht="15.75" customHeight="1" spans="1:2">
      <c r="A113" s="9"/>
      <c r="B113" s="9"/>
    </row>
    <row r="114" ht="15.75" customHeight="1" spans="1:2">
      <c r="A114" s="9"/>
      <c r="B114" s="9"/>
    </row>
    <row r="115" ht="15.75" customHeight="1" spans="1:2">
      <c r="A115" s="9"/>
      <c r="B115" s="9"/>
    </row>
    <row r="116" ht="15.75" customHeight="1" spans="1:2">
      <c r="A116" s="9"/>
      <c r="B116" s="9"/>
    </row>
    <row r="117" ht="15.75" customHeight="1" spans="1:2">
      <c r="A117" s="9"/>
      <c r="B117" s="9"/>
    </row>
    <row r="118" ht="15.75" customHeight="1" spans="1:2">
      <c r="A118" s="9"/>
      <c r="B118" s="9"/>
    </row>
    <row r="119" ht="15.75" customHeight="1" spans="1:2">
      <c r="A119" s="9"/>
      <c r="B119" s="9"/>
    </row>
    <row r="120" ht="15.75" customHeight="1" spans="1:2">
      <c r="A120" s="9"/>
      <c r="B120" s="9"/>
    </row>
    <row r="121" ht="15.75" customHeight="1" spans="1:2">
      <c r="A121" s="9"/>
      <c r="B121" s="9"/>
    </row>
    <row r="122" ht="15.75" customHeight="1" spans="1:2">
      <c r="A122" s="9"/>
      <c r="B122" s="9"/>
    </row>
    <row r="123" ht="15.75" customHeight="1" spans="1:2">
      <c r="A123" s="9"/>
      <c r="B123" s="9"/>
    </row>
    <row r="124" ht="15.75" customHeight="1" spans="1:2">
      <c r="A124" s="9"/>
      <c r="B124" s="9"/>
    </row>
    <row r="125" ht="15.75" customHeight="1" spans="1:2">
      <c r="A125" s="9"/>
      <c r="B125" s="9"/>
    </row>
    <row r="126" ht="15.75" customHeight="1" spans="1:2">
      <c r="A126" s="9"/>
      <c r="B126" s="9"/>
    </row>
    <row r="127" ht="15.75" customHeight="1" spans="1:2">
      <c r="A127" s="9"/>
      <c r="B127" s="9"/>
    </row>
    <row r="128" ht="15.75" customHeight="1" spans="1:2">
      <c r="A128" s="9"/>
      <c r="B128" s="9"/>
    </row>
    <row r="129" ht="15.75" customHeight="1" spans="1:2">
      <c r="A129" s="9"/>
      <c r="B129" s="9"/>
    </row>
    <row r="130" ht="15.75" customHeight="1" spans="1:2">
      <c r="A130" s="9"/>
      <c r="B130" s="9"/>
    </row>
    <row r="131" ht="15.75" customHeight="1" spans="1:2">
      <c r="A131" s="9"/>
      <c r="B131" s="9"/>
    </row>
    <row r="132" ht="15.75" customHeight="1" spans="1:2">
      <c r="A132" s="9"/>
      <c r="B132" s="9"/>
    </row>
    <row r="133" ht="15.75" customHeight="1" spans="1:2">
      <c r="A133" s="9"/>
      <c r="B133" s="9"/>
    </row>
    <row r="134" ht="15.75" customHeight="1" spans="1:2">
      <c r="A134" s="9"/>
      <c r="B134" s="9"/>
    </row>
    <row r="135" ht="15.75" customHeight="1" spans="1:2">
      <c r="A135" s="9"/>
      <c r="B135" s="9"/>
    </row>
    <row r="136" ht="15.75" customHeight="1" spans="1:2">
      <c r="A136" s="9"/>
      <c r="B136" s="9"/>
    </row>
    <row r="137" ht="15.75" customHeight="1" spans="1:2">
      <c r="A137" s="9"/>
      <c r="B137" s="9"/>
    </row>
    <row r="138" ht="15.75" customHeight="1" spans="1:2">
      <c r="A138" s="9"/>
      <c r="B138" s="9"/>
    </row>
    <row r="139" ht="15.75" customHeight="1" spans="1:2">
      <c r="A139" s="9"/>
      <c r="B139" s="9"/>
    </row>
    <row r="140" ht="15.75" customHeight="1" spans="1:2">
      <c r="A140" s="9"/>
      <c r="B140" s="9"/>
    </row>
    <row r="141" ht="15.75" customHeight="1" spans="1:2">
      <c r="A141" s="9"/>
      <c r="B141" s="9"/>
    </row>
    <row r="142" ht="15.75" customHeight="1" spans="1:2">
      <c r="A142" s="9"/>
      <c r="B142" s="9"/>
    </row>
    <row r="143" ht="15.75" customHeight="1" spans="1:2">
      <c r="A143" s="9"/>
      <c r="B143" s="9"/>
    </row>
    <row r="144" ht="15.75" customHeight="1" spans="1:2">
      <c r="A144" s="9"/>
      <c r="B144" s="9"/>
    </row>
    <row r="145" ht="15.75" customHeight="1" spans="1:2">
      <c r="A145" s="9"/>
      <c r="B145" s="9"/>
    </row>
    <row r="146" ht="15.75" customHeight="1" spans="1:2">
      <c r="A146" s="9"/>
      <c r="B146" s="9"/>
    </row>
    <row r="147" ht="15.75" customHeight="1" spans="1:2">
      <c r="A147" s="9"/>
      <c r="B147" s="9"/>
    </row>
    <row r="148" ht="15.75" customHeight="1" spans="1:2">
      <c r="A148" s="9"/>
      <c r="B148" s="9"/>
    </row>
    <row r="149" ht="15.75" customHeight="1" spans="1:2">
      <c r="A149" s="9"/>
      <c r="B149" s="9"/>
    </row>
    <row r="150" ht="15.75" customHeight="1" spans="1:2">
      <c r="A150" s="9"/>
      <c r="B150" s="9"/>
    </row>
    <row r="151" ht="15.75" customHeight="1" spans="1:2">
      <c r="A151" s="9"/>
      <c r="B151" s="9"/>
    </row>
    <row r="152" ht="15.75" customHeight="1" spans="1:2">
      <c r="A152" s="9"/>
      <c r="B152" s="9"/>
    </row>
    <row r="153" ht="15.75" customHeight="1" spans="1:2">
      <c r="A153" s="9"/>
      <c r="B153" s="9"/>
    </row>
    <row r="154" ht="15.75" customHeight="1" spans="1:2">
      <c r="A154" s="9"/>
      <c r="B154" s="9"/>
    </row>
    <row r="155" ht="15.75" customHeight="1" spans="1:2">
      <c r="A155" s="9"/>
      <c r="B155" s="9"/>
    </row>
    <row r="156" ht="15.75" customHeight="1" spans="1:2">
      <c r="A156" s="9"/>
      <c r="B156" s="9"/>
    </row>
    <row r="157" ht="15.75" customHeight="1" spans="1:2">
      <c r="A157" s="9"/>
      <c r="B157" s="9"/>
    </row>
    <row r="158" ht="15.75" customHeight="1" spans="1:2">
      <c r="A158" s="9"/>
      <c r="B158" s="9"/>
    </row>
    <row r="159" ht="15.75" customHeight="1" spans="1:2">
      <c r="A159" s="9"/>
      <c r="B159" s="9"/>
    </row>
    <row r="160" ht="15.75" customHeight="1" spans="1:2">
      <c r="A160" s="9"/>
      <c r="B160" s="9"/>
    </row>
    <row r="161" ht="15.75" customHeight="1" spans="1:2">
      <c r="A161" s="9"/>
      <c r="B161" s="9"/>
    </row>
    <row r="162" ht="15.75" customHeight="1" spans="1:2">
      <c r="A162" s="9"/>
      <c r="B162" s="9"/>
    </row>
    <row r="163" ht="15.75" customHeight="1" spans="1:2">
      <c r="A163" s="9"/>
      <c r="B163" s="9"/>
    </row>
    <row r="164" ht="15.75" customHeight="1" spans="1:2">
      <c r="A164" s="9"/>
      <c r="B164" s="9"/>
    </row>
    <row r="165" ht="15.75" customHeight="1" spans="1:2">
      <c r="A165" s="9"/>
      <c r="B165" s="9"/>
    </row>
    <row r="166" ht="15.75" customHeight="1" spans="1:2">
      <c r="A166" s="9"/>
      <c r="B166" s="9"/>
    </row>
    <row r="167" ht="15.75" customHeight="1" spans="1:2">
      <c r="A167" s="9"/>
      <c r="B167" s="9"/>
    </row>
    <row r="168" ht="15.75" customHeight="1" spans="1:2">
      <c r="A168" s="9"/>
      <c r="B168" s="9"/>
    </row>
    <row r="169" ht="15.75" customHeight="1" spans="1:2">
      <c r="A169" s="9"/>
      <c r="B169" s="9"/>
    </row>
    <row r="170" ht="15.75" customHeight="1" spans="1:2">
      <c r="A170" s="9"/>
      <c r="B170" s="9"/>
    </row>
    <row r="171" ht="15.75" customHeight="1" spans="1:2">
      <c r="A171" s="9"/>
      <c r="B171" s="9"/>
    </row>
    <row r="172" ht="15.75" customHeight="1" spans="1:2">
      <c r="A172" s="9"/>
      <c r="B172" s="9"/>
    </row>
    <row r="173" ht="15.75" customHeight="1" spans="1:2">
      <c r="A173" s="9"/>
      <c r="B173" s="9"/>
    </row>
    <row r="174" ht="15.75" customHeight="1" spans="1:2">
      <c r="A174" s="9"/>
      <c r="B174" s="9"/>
    </row>
    <row r="175" ht="15.75" customHeight="1" spans="1:2">
      <c r="A175" s="9"/>
      <c r="B175" s="9"/>
    </row>
    <row r="176" ht="15.75" customHeight="1" spans="1:2">
      <c r="A176" s="9"/>
      <c r="B176" s="9"/>
    </row>
    <row r="177" ht="15.75" customHeight="1" spans="1:2">
      <c r="A177" s="9"/>
      <c r="B177" s="9"/>
    </row>
    <row r="178" ht="15.75" customHeight="1" spans="1:2">
      <c r="A178" s="9"/>
      <c r="B178" s="9"/>
    </row>
    <row r="179" ht="15.75" customHeight="1" spans="1:2">
      <c r="A179" s="9"/>
      <c r="B179" s="9"/>
    </row>
    <row r="180" ht="15.75" customHeight="1" spans="1:2">
      <c r="A180" s="9"/>
      <c r="B180" s="9"/>
    </row>
    <row r="181" ht="15.75" customHeight="1" spans="1:2">
      <c r="A181" s="9"/>
      <c r="B181" s="9"/>
    </row>
    <row r="182" ht="15.75" customHeight="1" spans="1:2">
      <c r="A182" s="9"/>
      <c r="B182" s="9"/>
    </row>
    <row r="183" ht="15.75" customHeight="1" spans="1:2">
      <c r="A183" s="9"/>
      <c r="B183" s="9"/>
    </row>
    <row r="184" ht="15.75" customHeight="1" spans="1:2">
      <c r="A184" s="9"/>
      <c r="B184" s="9"/>
    </row>
    <row r="185" ht="15.75" customHeight="1" spans="1:2">
      <c r="A185" s="9"/>
      <c r="B185" s="9"/>
    </row>
    <row r="186" ht="15.75" customHeight="1" spans="1:2">
      <c r="A186" s="9"/>
      <c r="B186" s="9"/>
    </row>
    <row r="187" ht="15.75" customHeight="1" spans="1:2">
      <c r="A187" s="9"/>
      <c r="B187" s="9"/>
    </row>
    <row r="188" ht="15.75" customHeight="1" spans="1:2">
      <c r="A188" s="9"/>
      <c r="B188" s="9"/>
    </row>
    <row r="189" ht="15.75" customHeight="1" spans="1:2">
      <c r="A189" s="9"/>
      <c r="B189" s="9"/>
    </row>
    <row r="190" ht="15.75" customHeight="1" spans="1:2">
      <c r="A190" s="9"/>
      <c r="B190" s="9"/>
    </row>
    <row r="191" ht="15.75" customHeight="1" spans="1:2">
      <c r="A191" s="9"/>
      <c r="B191" s="9"/>
    </row>
    <row r="192" ht="15.75" customHeight="1" spans="1:2">
      <c r="A192" s="9"/>
      <c r="B192" s="9"/>
    </row>
    <row r="193" ht="15.75" customHeight="1" spans="1:2">
      <c r="A193" s="9"/>
      <c r="B193" s="9"/>
    </row>
    <row r="194" ht="15.75" customHeight="1" spans="1:2">
      <c r="A194" s="9"/>
      <c r="B194" s="9"/>
    </row>
    <row r="195" ht="15.75" customHeight="1" spans="1:2">
      <c r="A195" s="9"/>
      <c r="B195" s="9"/>
    </row>
    <row r="196" ht="15.75" customHeight="1" spans="1:2">
      <c r="A196" s="9"/>
      <c r="B196" s="9"/>
    </row>
    <row r="197" ht="15.75" customHeight="1" spans="1:2">
      <c r="A197" s="9"/>
      <c r="B197" s="9"/>
    </row>
    <row r="198" ht="15.75" customHeight="1" spans="1:2">
      <c r="A198" s="9"/>
      <c r="B198" s="9"/>
    </row>
    <row r="199" ht="15.75" customHeight="1" spans="1:2">
      <c r="A199" s="9"/>
      <c r="B199" s="9"/>
    </row>
    <row r="200" ht="15.75" customHeight="1" spans="1:2">
      <c r="A200" s="9"/>
      <c r="B200" s="9"/>
    </row>
    <row r="201" ht="15.75" customHeight="1" spans="1:2">
      <c r="A201" s="9"/>
      <c r="B201" s="9"/>
    </row>
    <row r="202" ht="15.75" customHeight="1" spans="1:2">
      <c r="A202" s="9"/>
      <c r="B202" s="9"/>
    </row>
    <row r="203" ht="15.75" customHeight="1" spans="1:2">
      <c r="A203" s="9"/>
      <c r="B203" s="9"/>
    </row>
    <row r="204" ht="15.75" customHeight="1" spans="1:2">
      <c r="A204" s="9"/>
      <c r="B204" s="9"/>
    </row>
    <row r="205" ht="15.75" customHeight="1" spans="1:2">
      <c r="A205" s="9"/>
      <c r="B205" s="9"/>
    </row>
    <row r="206" ht="15.75" customHeight="1" spans="1:2">
      <c r="A206" s="9"/>
      <c r="B206" s="9"/>
    </row>
    <row r="207" ht="15.75" customHeight="1" spans="1:2">
      <c r="A207" s="9"/>
      <c r="B207" s="9"/>
    </row>
    <row r="208" ht="15.75" customHeight="1" spans="1:2">
      <c r="A208" s="9"/>
      <c r="B208" s="9"/>
    </row>
    <row r="209" ht="15.75" customHeight="1" spans="1:2">
      <c r="A209" s="9"/>
      <c r="B209" s="9"/>
    </row>
    <row r="210" ht="15.75" customHeight="1" spans="1:2">
      <c r="A210" s="9"/>
      <c r="B210" s="9"/>
    </row>
    <row r="211" ht="15.75" customHeight="1" spans="1:2">
      <c r="A211" s="9"/>
      <c r="B211" s="9"/>
    </row>
    <row r="212" ht="15.75" customHeight="1" spans="1:2">
      <c r="A212" s="9"/>
      <c r="B212" s="9"/>
    </row>
    <row r="213" ht="15.75" customHeight="1" spans="1:2">
      <c r="A213" s="9"/>
      <c r="B213" s="9"/>
    </row>
    <row r="214" ht="15.75" customHeight="1" spans="1:2">
      <c r="A214" s="9"/>
      <c r="B214" s="9"/>
    </row>
    <row r="215" ht="15.75" customHeight="1" spans="1:2">
      <c r="A215" s="9"/>
      <c r="B215" s="9"/>
    </row>
    <row r="216" ht="15.75" customHeight="1" spans="1:2">
      <c r="A216" s="9"/>
      <c r="B216" s="9"/>
    </row>
    <row r="217" ht="15.75" customHeight="1" spans="1:2">
      <c r="A217" s="9"/>
      <c r="B217" s="9"/>
    </row>
    <row r="218" ht="15.75" customHeight="1" spans="1:2">
      <c r="A218" s="9"/>
      <c r="B218" s="9"/>
    </row>
    <row r="219" ht="15.75" customHeight="1" spans="1:2">
      <c r="A219" s="9"/>
      <c r="B219" s="9"/>
    </row>
    <row r="220" ht="15.75" customHeight="1" spans="1:2">
      <c r="A220" s="9"/>
      <c r="B220" s="9"/>
    </row>
    <row r="221" ht="15.75" customHeight="1" spans="1:2">
      <c r="A221" s="9"/>
      <c r="B221" s="9"/>
    </row>
    <row r="222" ht="15.75" customHeight="1" spans="1:2">
      <c r="A222" s="9"/>
      <c r="B222" s="9"/>
    </row>
    <row r="223" ht="15.75" customHeight="1" spans="1:2">
      <c r="A223" s="9"/>
      <c r="B223" s="9"/>
    </row>
    <row r="224" ht="15.75" customHeight="1" spans="1:2">
      <c r="A224" s="9"/>
      <c r="B224" s="9"/>
    </row>
    <row r="225" ht="15.75" customHeight="1" spans="1:2">
      <c r="A225" s="9"/>
      <c r="B225" s="9"/>
    </row>
    <row r="226" ht="15.75" customHeight="1" spans="1:2">
      <c r="A226" s="9"/>
      <c r="B226" s="9"/>
    </row>
    <row r="227" ht="15.75" customHeight="1" spans="1:2">
      <c r="A227" s="9"/>
      <c r="B227" s="9"/>
    </row>
    <row r="228" ht="15.75" customHeight="1" spans="1:2">
      <c r="A228" s="9"/>
      <c r="B228" s="9"/>
    </row>
    <row r="229" ht="15.75" customHeight="1" spans="1:2">
      <c r="A229" s="9"/>
      <c r="B229" s="9"/>
    </row>
    <row r="230" ht="15.75" customHeight="1" spans="1:2">
      <c r="A230" s="9"/>
      <c r="B230" s="9"/>
    </row>
    <row r="231" ht="15.75" customHeight="1" spans="1:2">
      <c r="A231" s="9"/>
      <c r="B231" s="9"/>
    </row>
    <row r="232" ht="15.75" customHeight="1" spans="1:2">
      <c r="A232" s="9"/>
      <c r="B232" s="9"/>
    </row>
    <row r="233" ht="15.75" customHeight="1" spans="1:2">
      <c r="A233" s="9"/>
      <c r="B233" s="9"/>
    </row>
    <row r="234" ht="15.75" customHeight="1" spans="1:2">
      <c r="A234" s="9"/>
      <c r="B234" s="9"/>
    </row>
    <row r="235" ht="15.75" customHeight="1" spans="1:2">
      <c r="A235" s="9"/>
      <c r="B235" s="9"/>
    </row>
    <row r="236" ht="15.75" customHeight="1" spans="1:2">
      <c r="A236" s="9"/>
      <c r="B236" s="9"/>
    </row>
    <row r="237" ht="15.75" customHeight="1" spans="1:2">
      <c r="A237" s="9"/>
      <c r="B237" s="9"/>
    </row>
    <row r="238" ht="15.75" customHeight="1" spans="1:2">
      <c r="A238" s="9"/>
      <c r="B238" s="9"/>
    </row>
    <row r="239" ht="15.75" customHeight="1" spans="1:2">
      <c r="A239" s="9"/>
      <c r="B239" s="9"/>
    </row>
    <row r="240" ht="15.75" customHeight="1" spans="1:2">
      <c r="A240" s="9"/>
      <c r="B240" s="9"/>
    </row>
    <row r="241" ht="15.75" customHeight="1" spans="1:2">
      <c r="A241" s="9"/>
      <c r="B241" s="9"/>
    </row>
    <row r="242" ht="15.75" customHeight="1" spans="1:2">
      <c r="A242" s="9"/>
      <c r="B242" s="9"/>
    </row>
    <row r="243" ht="15.75" customHeight="1" spans="1:2">
      <c r="A243" s="9"/>
      <c r="B243" s="9"/>
    </row>
    <row r="244" ht="15.75" customHeight="1" spans="1:2">
      <c r="A244" s="9"/>
      <c r="B244" s="9"/>
    </row>
    <row r="245" ht="15.75" customHeight="1" spans="1:2">
      <c r="A245" s="9"/>
      <c r="B245" s="9"/>
    </row>
    <row r="246" ht="15.75" customHeight="1" spans="1:2">
      <c r="A246" s="9"/>
      <c r="B246" s="9"/>
    </row>
    <row r="247" ht="15.75" customHeight="1" spans="1:2">
      <c r="A247" s="9"/>
      <c r="B247" s="9"/>
    </row>
    <row r="248" ht="15.75" customHeight="1" spans="1:2">
      <c r="A248" s="9"/>
      <c r="B248" s="9"/>
    </row>
    <row r="249" ht="15.75" customHeight="1" spans="1:2">
      <c r="A249" s="9"/>
      <c r="B249" s="9"/>
    </row>
    <row r="250" ht="15.75" customHeight="1" spans="1:2">
      <c r="A250" s="9"/>
      <c r="B250" s="9"/>
    </row>
    <row r="251" ht="15.75" customHeight="1" spans="1:2">
      <c r="A251" s="9"/>
      <c r="B251" s="9"/>
    </row>
    <row r="252" ht="15.75" customHeight="1" spans="1:2">
      <c r="A252" s="9"/>
      <c r="B252" s="9"/>
    </row>
    <row r="253" ht="15.75" customHeight="1" spans="1:2">
      <c r="A253" s="9"/>
      <c r="B253" s="9"/>
    </row>
    <row r="254" ht="15.75" customHeight="1" spans="1:2">
      <c r="A254" s="9"/>
      <c r="B254" s="9"/>
    </row>
    <row r="255" ht="15.75" customHeight="1" spans="1:2">
      <c r="A255" s="9"/>
      <c r="B255" s="9"/>
    </row>
    <row r="256" ht="15.75" customHeight="1" spans="1:2">
      <c r="A256" s="9"/>
      <c r="B256" s="9"/>
    </row>
    <row r="257" ht="15.75" customHeight="1" spans="1:2">
      <c r="A257" s="9"/>
      <c r="B257" s="9"/>
    </row>
    <row r="258" ht="15.75" customHeight="1" spans="1:2">
      <c r="A258" s="9"/>
      <c r="B258" s="9"/>
    </row>
    <row r="259" ht="15.75" customHeight="1" spans="1:2">
      <c r="A259" s="9"/>
      <c r="B259" s="9"/>
    </row>
    <row r="260" ht="15.75" customHeight="1" spans="1:2">
      <c r="A260" s="9"/>
      <c r="B260" s="9"/>
    </row>
    <row r="261" ht="15.75" customHeight="1" spans="1:2">
      <c r="A261" s="9"/>
      <c r="B261" s="9"/>
    </row>
    <row r="262" ht="15.75" customHeight="1" spans="1:2">
      <c r="A262" s="9"/>
      <c r="B262" s="9"/>
    </row>
    <row r="263" ht="15.75" customHeight="1" spans="1:2">
      <c r="A263" s="9"/>
      <c r="B263" s="9"/>
    </row>
    <row r="264" ht="15.75" customHeight="1" spans="1:2">
      <c r="A264" s="9"/>
      <c r="B264" s="9"/>
    </row>
    <row r="265" ht="15.75" customHeight="1" spans="1:2">
      <c r="A265" s="9"/>
      <c r="B265" s="9"/>
    </row>
    <row r="266" ht="15.75" customHeight="1" spans="1:2">
      <c r="A266" s="9"/>
      <c r="B266" s="9"/>
    </row>
    <row r="267" ht="15.75" customHeight="1" spans="1:2">
      <c r="A267" s="9"/>
      <c r="B267" s="9"/>
    </row>
    <row r="268" ht="15.75" customHeight="1" spans="1:2">
      <c r="A268" s="9"/>
      <c r="B268" s="9"/>
    </row>
    <row r="269" ht="15.75" customHeight="1" spans="1:2">
      <c r="A269" s="9"/>
      <c r="B269" s="9"/>
    </row>
    <row r="270" ht="15.75" customHeight="1" spans="1:2">
      <c r="A270" s="9"/>
      <c r="B270" s="9"/>
    </row>
    <row r="271" ht="15.75" customHeight="1" spans="1:2">
      <c r="A271" s="9"/>
      <c r="B271" s="9"/>
    </row>
    <row r="272" ht="15.75" customHeight="1" spans="1:2">
      <c r="A272" s="9"/>
      <c r="B272" s="9"/>
    </row>
    <row r="273" ht="15.75" customHeight="1" spans="1:2">
      <c r="A273" s="9"/>
      <c r="B273" s="9"/>
    </row>
    <row r="274" ht="15.75" customHeight="1" spans="1:2">
      <c r="A274" s="9"/>
      <c r="B274" s="9"/>
    </row>
    <row r="275" ht="15.75" customHeight="1" spans="1:2">
      <c r="A275" s="9"/>
      <c r="B275" s="9"/>
    </row>
    <row r="276" ht="15.75" customHeight="1" spans="1:2">
      <c r="A276" s="9"/>
      <c r="B276" s="9"/>
    </row>
    <row r="277" ht="15.75" customHeight="1" spans="1:2">
      <c r="A277" s="9"/>
      <c r="B277" s="9"/>
    </row>
    <row r="278" ht="15.75" customHeight="1" spans="1:2">
      <c r="A278" s="9"/>
      <c r="B278" s="9"/>
    </row>
    <row r="279" ht="15.75" customHeight="1" spans="1:2">
      <c r="A279" s="9"/>
      <c r="B279" s="9"/>
    </row>
    <row r="280" ht="15.75" customHeight="1" spans="1:2">
      <c r="A280" s="9"/>
      <c r="B280" s="9"/>
    </row>
    <row r="281" ht="15.75" customHeight="1" spans="1:2">
      <c r="A281" s="9"/>
      <c r="B281" s="9"/>
    </row>
    <row r="282" ht="15.75" customHeight="1" spans="1:2">
      <c r="A282" s="9"/>
      <c r="B282" s="9"/>
    </row>
    <row r="283" ht="15.75" customHeight="1" spans="1:2">
      <c r="A283" s="9"/>
      <c r="B283" s="9"/>
    </row>
    <row r="284" ht="15.75" customHeight="1" spans="1:2">
      <c r="A284" s="9"/>
      <c r="B284" s="9"/>
    </row>
    <row r="285" ht="15.75" customHeight="1" spans="1:2">
      <c r="A285" s="9"/>
      <c r="B285" s="9"/>
    </row>
    <row r="286" ht="15.75" customHeight="1" spans="1:2">
      <c r="A286" s="9"/>
      <c r="B286" s="9"/>
    </row>
    <row r="287" ht="15.75" customHeight="1" spans="1:2">
      <c r="A287" s="9"/>
      <c r="B287" s="9"/>
    </row>
    <row r="288" ht="15.75" customHeight="1" spans="1:2">
      <c r="A288" s="9"/>
      <c r="B288" s="9"/>
    </row>
    <row r="289" ht="15.75" customHeight="1" spans="1:2">
      <c r="A289" s="9"/>
      <c r="B289" s="9"/>
    </row>
    <row r="290" ht="15.75" customHeight="1" spans="1:2">
      <c r="A290" s="9"/>
      <c r="B290" s="9"/>
    </row>
    <row r="291" ht="15.75" customHeight="1" spans="1:2">
      <c r="A291" s="9"/>
      <c r="B291" s="9"/>
    </row>
    <row r="292" ht="15.75" customHeight="1" spans="1:2">
      <c r="A292" s="9"/>
      <c r="B292" s="9"/>
    </row>
    <row r="293" ht="15.75" customHeight="1" spans="1:2">
      <c r="A293" s="9"/>
      <c r="B293" s="9"/>
    </row>
    <row r="294" ht="15.75" customHeight="1" spans="1:2">
      <c r="A294" s="9"/>
      <c r="B294" s="9"/>
    </row>
    <row r="295" ht="15.75" customHeight="1" spans="1:2">
      <c r="A295" s="9"/>
      <c r="B295" s="9"/>
    </row>
    <row r="296" ht="15.75" customHeight="1" spans="1:2">
      <c r="A296" s="9"/>
      <c r="B296" s="9"/>
    </row>
    <row r="297" ht="15.75" customHeight="1" spans="1:2">
      <c r="A297" s="9"/>
      <c r="B297" s="9"/>
    </row>
    <row r="298" ht="15.75" customHeight="1" spans="1:2">
      <c r="A298" s="9"/>
      <c r="B298" s="9"/>
    </row>
    <row r="299" ht="15.75" customHeight="1" spans="1:2">
      <c r="A299" s="9"/>
      <c r="B299" s="9"/>
    </row>
    <row r="300" ht="15.75" customHeight="1" spans="1:2">
      <c r="A300" s="9"/>
      <c r="B300" s="9"/>
    </row>
    <row r="301" ht="15.75" customHeight="1" spans="1:2">
      <c r="A301" s="9"/>
      <c r="B301" s="9"/>
    </row>
    <row r="302" ht="15.75" customHeight="1" spans="1:2">
      <c r="A302" s="9"/>
      <c r="B302" s="9"/>
    </row>
    <row r="303" ht="15.75" customHeight="1" spans="1:2">
      <c r="A303" s="9"/>
      <c r="B303" s="9"/>
    </row>
    <row r="304" ht="15.75" customHeight="1" spans="1:2">
      <c r="A304" s="9"/>
      <c r="B304" s="9"/>
    </row>
    <row r="305" ht="15.75" customHeight="1" spans="1:2">
      <c r="A305" s="9"/>
      <c r="B305" s="9"/>
    </row>
    <row r="306" ht="15.75" customHeight="1" spans="1:2">
      <c r="A306" s="9"/>
      <c r="B306" s="9"/>
    </row>
    <row r="307" ht="15.75" customHeight="1" spans="1:2">
      <c r="A307" s="9"/>
      <c r="B307" s="9"/>
    </row>
    <row r="308" ht="15.75" customHeight="1" spans="1:2">
      <c r="A308" s="9"/>
      <c r="B308" s="9"/>
    </row>
    <row r="309" ht="15.75" customHeight="1" spans="1:2">
      <c r="A309" s="9"/>
      <c r="B309" s="9"/>
    </row>
    <row r="310" ht="15.75" customHeight="1" spans="1:2">
      <c r="A310" s="9"/>
      <c r="B310" s="9"/>
    </row>
    <row r="311" ht="15.75" customHeight="1" spans="1:2">
      <c r="A311" s="9"/>
      <c r="B311" s="9"/>
    </row>
    <row r="312" ht="15.75" customHeight="1" spans="1:2">
      <c r="A312" s="9"/>
      <c r="B312" s="9"/>
    </row>
    <row r="313" ht="15.75" customHeight="1" spans="1:2">
      <c r="A313" s="9"/>
      <c r="B313" s="9"/>
    </row>
    <row r="314" ht="15.75" customHeight="1" spans="1:2">
      <c r="A314" s="9"/>
      <c r="B314" s="9"/>
    </row>
    <row r="315" ht="15.75" customHeight="1" spans="1:2">
      <c r="A315" s="9"/>
      <c r="B315" s="9"/>
    </row>
    <row r="316" ht="15.75" customHeight="1" spans="1:2">
      <c r="A316" s="9"/>
      <c r="B316" s="9"/>
    </row>
    <row r="317" ht="15.75" customHeight="1" spans="1:2">
      <c r="A317" s="9"/>
      <c r="B317" s="9"/>
    </row>
    <row r="318" ht="15.75" customHeight="1" spans="1:2">
      <c r="A318" s="9"/>
      <c r="B318" s="9"/>
    </row>
    <row r="319" ht="15.75" customHeight="1" spans="1:2">
      <c r="A319" s="9"/>
      <c r="B319" s="9"/>
    </row>
    <row r="320" ht="15.75" customHeight="1" spans="1:2">
      <c r="A320" s="9"/>
      <c r="B320" s="9"/>
    </row>
    <row r="321" ht="15.75" customHeight="1" spans="1:2">
      <c r="A321" s="9"/>
      <c r="B321" s="9"/>
    </row>
    <row r="322" ht="15.75" customHeight="1" spans="1:2">
      <c r="A322" s="9"/>
      <c r="B322" s="9"/>
    </row>
    <row r="323" ht="15.75" customHeight="1" spans="1:2">
      <c r="A323" s="9"/>
      <c r="B323" s="9"/>
    </row>
    <row r="324" ht="15.75" customHeight="1" spans="1:2">
      <c r="A324" s="9"/>
      <c r="B324" s="9"/>
    </row>
    <row r="325" ht="15.75" customHeight="1" spans="1:2">
      <c r="A325" s="9"/>
      <c r="B325" s="9"/>
    </row>
    <row r="326" ht="15.75" customHeight="1" spans="1:2">
      <c r="A326" s="9"/>
      <c r="B326" s="9"/>
    </row>
    <row r="327" ht="15.75" customHeight="1" spans="1:2">
      <c r="A327" s="9"/>
      <c r="B327" s="9"/>
    </row>
    <row r="328" ht="15.75" customHeight="1" spans="1:2">
      <c r="A328" s="9"/>
      <c r="B328" s="9"/>
    </row>
    <row r="329" ht="15.75" customHeight="1" spans="1:2">
      <c r="A329" s="9"/>
      <c r="B329" s="9"/>
    </row>
    <row r="330" ht="15.75" customHeight="1" spans="1:2">
      <c r="A330" s="9"/>
      <c r="B330" s="9"/>
    </row>
    <row r="331" ht="15.75" customHeight="1" spans="1:2">
      <c r="A331" s="9"/>
      <c r="B331" s="9"/>
    </row>
    <row r="332" ht="15.75" customHeight="1" spans="1:2">
      <c r="A332" s="9"/>
      <c r="B332" s="9"/>
    </row>
    <row r="333" ht="15.75" customHeight="1" spans="1:2">
      <c r="A333" s="9"/>
      <c r="B333" s="9"/>
    </row>
    <row r="334" ht="15.75" customHeight="1" spans="1:2">
      <c r="A334" s="9"/>
      <c r="B334" s="9"/>
    </row>
    <row r="335" ht="15.75" customHeight="1" spans="1:2">
      <c r="A335" s="9"/>
      <c r="B335" s="9"/>
    </row>
    <row r="336" ht="15.75" customHeight="1" spans="1:2">
      <c r="A336" s="9"/>
      <c r="B336" s="9"/>
    </row>
    <row r="337" ht="15.75" customHeight="1" spans="1:2">
      <c r="A337" s="9"/>
      <c r="B337" s="9"/>
    </row>
    <row r="338" ht="15.75" customHeight="1" spans="1:2">
      <c r="A338" s="9"/>
      <c r="B338" s="9"/>
    </row>
    <row r="339" ht="15.75" customHeight="1" spans="1:2">
      <c r="A339" s="9"/>
      <c r="B339" s="9"/>
    </row>
    <row r="340" ht="15.75" customHeight="1" spans="1:2">
      <c r="A340" s="9"/>
      <c r="B340" s="9"/>
    </row>
    <row r="341" ht="15.75" customHeight="1" spans="1:2">
      <c r="A341" s="9"/>
      <c r="B341" s="9"/>
    </row>
    <row r="342" ht="15.75" customHeight="1" spans="1:2">
      <c r="A342" s="9"/>
      <c r="B342" s="9"/>
    </row>
    <row r="343" ht="15.75" customHeight="1" spans="1:2">
      <c r="A343" s="9"/>
      <c r="B343" s="9"/>
    </row>
    <row r="344" ht="15.75" customHeight="1" spans="1:2">
      <c r="A344" s="9"/>
      <c r="B344" s="9"/>
    </row>
    <row r="345" ht="15.75" customHeight="1" spans="1:2">
      <c r="A345" s="9"/>
      <c r="B345" s="9"/>
    </row>
    <row r="346" ht="15.75" customHeight="1" spans="1:2">
      <c r="A346" s="9"/>
      <c r="B346" s="9"/>
    </row>
    <row r="347" ht="15.75" customHeight="1" spans="1:2">
      <c r="A347" s="9"/>
      <c r="B347" s="9"/>
    </row>
    <row r="348" ht="15.75" customHeight="1" spans="1:2">
      <c r="A348" s="9"/>
      <c r="B348" s="9"/>
    </row>
    <row r="349" ht="15.75" customHeight="1" spans="1:2">
      <c r="A349" s="9"/>
      <c r="B349" s="9"/>
    </row>
    <row r="350" ht="15.75" customHeight="1" spans="1:2">
      <c r="A350" s="9"/>
      <c r="B350" s="9"/>
    </row>
    <row r="351" ht="15.75" customHeight="1" spans="1:2">
      <c r="A351" s="9"/>
      <c r="B351" s="9"/>
    </row>
    <row r="352" ht="15.75" customHeight="1" spans="1:2">
      <c r="A352" s="9"/>
      <c r="B352" s="9"/>
    </row>
    <row r="353" ht="15.75" customHeight="1" spans="1:2">
      <c r="A353" s="9"/>
      <c r="B353" s="9"/>
    </row>
    <row r="354" ht="15.75" customHeight="1" spans="1:2">
      <c r="A354" s="9"/>
      <c r="B354" s="9"/>
    </row>
    <row r="355" ht="15.75" customHeight="1" spans="1:2">
      <c r="A355" s="9"/>
      <c r="B355" s="9"/>
    </row>
    <row r="356" ht="15.75" customHeight="1" spans="1:2">
      <c r="A356" s="9"/>
      <c r="B356" s="9"/>
    </row>
    <row r="357" ht="15.75" customHeight="1" spans="1:2">
      <c r="A357" s="9"/>
      <c r="B357" s="9"/>
    </row>
    <row r="358" ht="15.75" customHeight="1" spans="1:2">
      <c r="A358" s="9"/>
      <c r="B358" s="9"/>
    </row>
    <row r="359" ht="15.75" customHeight="1" spans="1:2">
      <c r="A359" s="9"/>
      <c r="B359" s="9"/>
    </row>
    <row r="360" ht="15.75" customHeight="1" spans="1:2">
      <c r="A360" s="9"/>
      <c r="B360" s="9"/>
    </row>
    <row r="361" ht="15.75" customHeight="1" spans="1:2">
      <c r="A361" s="9"/>
      <c r="B361" s="9"/>
    </row>
    <row r="362" ht="15.75" customHeight="1" spans="1:2">
      <c r="A362" s="9"/>
      <c r="B362" s="9"/>
    </row>
    <row r="363" ht="15.75" customHeight="1" spans="1:2">
      <c r="A363" s="9"/>
      <c r="B363" s="9"/>
    </row>
    <row r="364" ht="15.75" customHeight="1" spans="1:2">
      <c r="A364" s="9"/>
      <c r="B364" s="9"/>
    </row>
    <row r="365" ht="15.75" customHeight="1" spans="1:2">
      <c r="A365" s="9"/>
      <c r="B365" s="9"/>
    </row>
    <row r="366" ht="15.75" customHeight="1" spans="1:2">
      <c r="A366" s="9"/>
      <c r="B366" s="9"/>
    </row>
    <row r="367" ht="15.75" customHeight="1" spans="1:2">
      <c r="A367" s="9"/>
      <c r="B367" s="9"/>
    </row>
    <row r="368" ht="15.75" customHeight="1" spans="1:2">
      <c r="A368" s="9"/>
      <c r="B368" s="9"/>
    </row>
    <row r="369" ht="15.75" customHeight="1" spans="1:2">
      <c r="A369" s="9"/>
      <c r="B369" s="9"/>
    </row>
    <row r="370" ht="15.75" customHeight="1" spans="1:2">
      <c r="A370" s="9"/>
      <c r="B370" s="9"/>
    </row>
    <row r="371" ht="15.75" customHeight="1" spans="1:2">
      <c r="A371" s="9"/>
      <c r="B371" s="9"/>
    </row>
    <row r="372" ht="15.75" customHeight="1" spans="1:2">
      <c r="A372" s="9"/>
      <c r="B372" s="9"/>
    </row>
    <row r="373" ht="15.75" customHeight="1" spans="1:2">
      <c r="A373" s="9"/>
      <c r="B373" s="9"/>
    </row>
    <row r="374" ht="15.75" customHeight="1" spans="1:2">
      <c r="A374" s="9"/>
      <c r="B374" s="9"/>
    </row>
    <row r="375" ht="15.75" customHeight="1" spans="1:2">
      <c r="A375" s="9"/>
      <c r="B375" s="9"/>
    </row>
    <row r="376" ht="15.75" customHeight="1" spans="1:2">
      <c r="A376" s="9"/>
      <c r="B376" s="9"/>
    </row>
    <row r="377" ht="15.75" customHeight="1" spans="1:2">
      <c r="A377" s="9"/>
      <c r="B377" s="9"/>
    </row>
    <row r="378" ht="15.75" customHeight="1" spans="1:2">
      <c r="A378" s="9"/>
      <c r="B378" s="9"/>
    </row>
    <row r="379" ht="15.75" customHeight="1" spans="1:2">
      <c r="A379" s="9"/>
      <c r="B379" s="9"/>
    </row>
    <row r="380" ht="15.75" customHeight="1" spans="1:2">
      <c r="A380" s="9"/>
      <c r="B380" s="9"/>
    </row>
    <row r="381" ht="15.75" customHeight="1" spans="1:2">
      <c r="A381" s="9"/>
      <c r="B381" s="9"/>
    </row>
    <row r="382" ht="15.75" customHeight="1" spans="1:2">
      <c r="A382" s="9"/>
      <c r="B382" s="9"/>
    </row>
    <row r="383" ht="15.75" customHeight="1" spans="1:2">
      <c r="A383" s="9"/>
      <c r="B383" s="9"/>
    </row>
    <row r="384" ht="15.75" customHeight="1" spans="1:2">
      <c r="A384" s="9"/>
      <c r="B384" s="9"/>
    </row>
    <row r="385" ht="15.75" customHeight="1" spans="1:2">
      <c r="A385" s="9"/>
      <c r="B385" s="9"/>
    </row>
    <row r="386" ht="15.75" customHeight="1" spans="1:2">
      <c r="A386" s="9"/>
      <c r="B386" s="9"/>
    </row>
    <row r="387" ht="15.75" customHeight="1" spans="1:2">
      <c r="A387" s="9"/>
      <c r="B387" s="9"/>
    </row>
    <row r="388" ht="15.75" customHeight="1" spans="1:2">
      <c r="A388" s="9"/>
      <c r="B388" s="9"/>
    </row>
    <row r="389" ht="15.75" customHeight="1" spans="1:2">
      <c r="A389" s="9"/>
      <c r="B389" s="9"/>
    </row>
    <row r="390" ht="15.75" customHeight="1" spans="1:2">
      <c r="A390" s="9"/>
      <c r="B390" s="9"/>
    </row>
    <row r="391" ht="15.75" customHeight="1" spans="1:2">
      <c r="A391" s="9"/>
      <c r="B391" s="9"/>
    </row>
    <row r="392" ht="15.75" customHeight="1" spans="1:2">
      <c r="A392" s="9"/>
      <c r="B392" s="9"/>
    </row>
    <row r="393" ht="15.75" customHeight="1" spans="1:2">
      <c r="A393" s="9"/>
      <c r="B393" s="9"/>
    </row>
    <row r="394" ht="15.75" customHeight="1" spans="1:2">
      <c r="A394" s="9"/>
      <c r="B394" s="9"/>
    </row>
    <row r="395" ht="15.75" customHeight="1" spans="1:2">
      <c r="A395" s="9"/>
      <c r="B395" s="9"/>
    </row>
    <row r="396" ht="15.75" customHeight="1" spans="1:2">
      <c r="A396" s="9"/>
      <c r="B396" s="9"/>
    </row>
    <row r="397" ht="15.75" customHeight="1" spans="1:2">
      <c r="A397" s="9"/>
      <c r="B397" s="9"/>
    </row>
    <row r="398" ht="15.75" customHeight="1" spans="1:2">
      <c r="A398" s="9"/>
      <c r="B398" s="9"/>
    </row>
    <row r="399" ht="15.75" customHeight="1" spans="1:2">
      <c r="A399" s="9"/>
      <c r="B399" s="9"/>
    </row>
    <row r="400" ht="15.75" customHeight="1" spans="1:2">
      <c r="A400" s="9"/>
      <c r="B400" s="9"/>
    </row>
    <row r="401" ht="15.75" customHeight="1" spans="1:2">
      <c r="A401" s="9"/>
      <c r="B401" s="9"/>
    </row>
    <row r="402" ht="15.75" customHeight="1" spans="1:2">
      <c r="A402" s="9"/>
      <c r="B402" s="9"/>
    </row>
    <row r="403" ht="15.75" customHeight="1" spans="1:2">
      <c r="A403" s="9"/>
      <c r="B403" s="9"/>
    </row>
    <row r="404" ht="15.75" customHeight="1" spans="1:2">
      <c r="A404" s="9"/>
      <c r="B404" s="9"/>
    </row>
    <row r="405" ht="15.75" customHeight="1" spans="1:2">
      <c r="A405" s="9"/>
      <c r="B405" s="9"/>
    </row>
    <row r="406" ht="15.75" customHeight="1" spans="1:2">
      <c r="A406" s="9"/>
      <c r="B406" s="9"/>
    </row>
    <row r="407" ht="15.75" customHeight="1" spans="1:2">
      <c r="A407" s="9"/>
      <c r="B407" s="9"/>
    </row>
    <row r="408" ht="15.75" customHeight="1" spans="1:2">
      <c r="A408" s="9"/>
      <c r="B408" s="9"/>
    </row>
    <row r="409" ht="15.75" customHeight="1" spans="1:2">
      <c r="A409" s="9"/>
      <c r="B409" s="9"/>
    </row>
    <row r="410" ht="15.75" customHeight="1" spans="1:2">
      <c r="A410" s="9"/>
      <c r="B410" s="9"/>
    </row>
    <row r="411" ht="15.75" customHeight="1" spans="1:2">
      <c r="A411" s="9"/>
      <c r="B411" s="9"/>
    </row>
    <row r="412" ht="15.75" customHeight="1" spans="1:2">
      <c r="A412" s="9"/>
      <c r="B412" s="9"/>
    </row>
    <row r="413" ht="15.75" customHeight="1" spans="1:2">
      <c r="A413" s="9"/>
      <c r="B413" s="9"/>
    </row>
    <row r="414" ht="15.75" customHeight="1" spans="1:2">
      <c r="A414" s="9"/>
      <c r="B414" s="9"/>
    </row>
    <row r="415" ht="15.75" customHeight="1" spans="1:2">
      <c r="A415" s="9"/>
      <c r="B415" s="9"/>
    </row>
    <row r="416" ht="15.75" customHeight="1" spans="1:2">
      <c r="A416" s="9"/>
      <c r="B416" s="9"/>
    </row>
    <row r="417" ht="15.75" customHeight="1" spans="1:2">
      <c r="A417" s="9"/>
      <c r="B417" s="9"/>
    </row>
    <row r="418" ht="15.75" customHeight="1" spans="1:2">
      <c r="A418" s="9"/>
      <c r="B418" s="9"/>
    </row>
    <row r="419" ht="15.75" customHeight="1" spans="1:2">
      <c r="A419" s="9"/>
      <c r="B419" s="9"/>
    </row>
    <row r="420" ht="15.75" customHeight="1" spans="1:2">
      <c r="A420" s="9"/>
      <c r="B420" s="9"/>
    </row>
    <row r="421" ht="15.75" customHeight="1" spans="1:2">
      <c r="A421" s="9"/>
      <c r="B421" s="9"/>
    </row>
    <row r="422" ht="15.75" customHeight="1" spans="1:2">
      <c r="A422" s="9"/>
      <c r="B422" s="9"/>
    </row>
    <row r="423" ht="15.75" customHeight="1" spans="1:2">
      <c r="A423" s="9"/>
      <c r="B423" s="9"/>
    </row>
    <row r="424" ht="15.75" customHeight="1" spans="1:2">
      <c r="A424" s="9"/>
      <c r="B424" s="9"/>
    </row>
    <row r="425" ht="15.75" customHeight="1" spans="1:2">
      <c r="A425" s="9"/>
      <c r="B425" s="9"/>
    </row>
    <row r="426" ht="15.75" customHeight="1" spans="1:2">
      <c r="A426" s="9"/>
      <c r="B426" s="9"/>
    </row>
    <row r="427" ht="15.75" customHeight="1" spans="1:2">
      <c r="A427" s="9"/>
      <c r="B427" s="9"/>
    </row>
    <row r="428" ht="15.75" customHeight="1" spans="1:2">
      <c r="A428" s="9"/>
      <c r="B428" s="9"/>
    </row>
    <row r="429" ht="15.75" customHeight="1" spans="1:2">
      <c r="A429" s="9"/>
      <c r="B429" s="9"/>
    </row>
    <row r="430" ht="15.75" customHeight="1" spans="1:2">
      <c r="A430" s="9"/>
      <c r="B430" s="9"/>
    </row>
    <row r="431" ht="15.75" customHeight="1" spans="1:2">
      <c r="A431" s="9"/>
      <c r="B431" s="9"/>
    </row>
    <row r="432" ht="15.75" customHeight="1" spans="1:2">
      <c r="A432" s="9"/>
      <c r="B432" s="9"/>
    </row>
    <row r="433" ht="15.75" customHeight="1" spans="1:2">
      <c r="A433" s="9"/>
      <c r="B433" s="9"/>
    </row>
    <row r="434" ht="15.75" customHeight="1" spans="1:2">
      <c r="A434" s="9"/>
      <c r="B434" s="9"/>
    </row>
    <row r="435" ht="15.75" customHeight="1" spans="1:2">
      <c r="A435" s="9"/>
      <c r="B435" s="9"/>
    </row>
    <row r="436" ht="15.75" customHeight="1" spans="1:2">
      <c r="A436" s="9"/>
      <c r="B436" s="9"/>
    </row>
    <row r="437" ht="15.75" customHeight="1" spans="1:2">
      <c r="A437" s="9"/>
      <c r="B437" s="9"/>
    </row>
    <row r="438" ht="15.75" customHeight="1" spans="1:2">
      <c r="A438" s="9"/>
      <c r="B438" s="9"/>
    </row>
    <row r="439" ht="15.75" customHeight="1" spans="1:2">
      <c r="A439" s="9"/>
      <c r="B439" s="9"/>
    </row>
    <row r="440" ht="15.75" customHeight="1" spans="1:2">
      <c r="A440" s="9"/>
      <c r="B440" s="9"/>
    </row>
    <row r="441" ht="15.75" customHeight="1" spans="1:2">
      <c r="A441" s="9"/>
      <c r="B441" s="9"/>
    </row>
    <row r="442" ht="15.75" customHeight="1" spans="1:2">
      <c r="A442" s="9"/>
      <c r="B442" s="9"/>
    </row>
    <row r="443" ht="15.75" customHeight="1" spans="1:2">
      <c r="A443" s="9"/>
      <c r="B443" s="9"/>
    </row>
    <row r="444" ht="15.75" customHeight="1" spans="1:2">
      <c r="A444" s="9"/>
      <c r="B444" s="9"/>
    </row>
    <row r="445" ht="15.75" customHeight="1" spans="1:2">
      <c r="A445" s="9"/>
      <c r="B445" s="9"/>
    </row>
    <row r="446" ht="15.75" customHeight="1" spans="1:2">
      <c r="A446" s="9"/>
      <c r="B446" s="9"/>
    </row>
    <row r="447" ht="15.75" customHeight="1" spans="1:2">
      <c r="A447" s="9"/>
      <c r="B447" s="9"/>
    </row>
    <row r="448" ht="15.75" customHeight="1" spans="1:2">
      <c r="A448" s="9"/>
      <c r="B448" s="9"/>
    </row>
    <row r="449" ht="15.75" customHeight="1" spans="1:2">
      <c r="A449" s="9"/>
      <c r="B449" s="9"/>
    </row>
    <row r="450" ht="15.75" customHeight="1" spans="1:2">
      <c r="A450" s="9"/>
      <c r="B450" s="9"/>
    </row>
    <row r="451" ht="15.75" customHeight="1" spans="1:2">
      <c r="A451" s="9"/>
      <c r="B451" s="9"/>
    </row>
    <row r="452" ht="15.75" customHeight="1" spans="1:2">
      <c r="A452" s="9"/>
      <c r="B452" s="9"/>
    </row>
    <row r="453" ht="15.75" customHeight="1" spans="1:2">
      <c r="A453" s="9"/>
      <c r="B453" s="9"/>
    </row>
    <row r="454" ht="15.75" customHeight="1" spans="1:2">
      <c r="A454" s="9"/>
      <c r="B454" s="9"/>
    </row>
    <row r="455" ht="15.75" customHeight="1" spans="1:2">
      <c r="A455" s="9"/>
      <c r="B455" s="9"/>
    </row>
    <row r="456" ht="15.75" customHeight="1" spans="1:2">
      <c r="A456" s="9"/>
      <c r="B456" s="9"/>
    </row>
    <row r="457" ht="15.75" customHeight="1" spans="1:2">
      <c r="A457" s="9"/>
      <c r="B457" s="9"/>
    </row>
    <row r="458" ht="15.75" customHeight="1" spans="1:2">
      <c r="A458" s="9"/>
      <c r="B458" s="9"/>
    </row>
    <row r="459" ht="15.75" customHeight="1" spans="1:2">
      <c r="A459" s="9"/>
      <c r="B459" s="9"/>
    </row>
    <row r="460" ht="15.75" customHeight="1" spans="1:2">
      <c r="A460" s="9"/>
      <c r="B460" s="9"/>
    </row>
    <row r="461" ht="15.75" customHeight="1" spans="1:2">
      <c r="A461" s="9"/>
      <c r="B461" s="9"/>
    </row>
    <row r="462" ht="15.75" customHeight="1" spans="1:2">
      <c r="A462" s="9"/>
      <c r="B462" s="9"/>
    </row>
    <row r="463" ht="15.75" customHeight="1" spans="1:2">
      <c r="A463" s="9"/>
      <c r="B463" s="9"/>
    </row>
    <row r="464" ht="15.75" customHeight="1" spans="1:2">
      <c r="A464" s="9"/>
      <c r="B464" s="9"/>
    </row>
    <row r="465" ht="15.75" customHeight="1" spans="1:2">
      <c r="A465" s="9"/>
      <c r="B465" s="9"/>
    </row>
    <row r="466" ht="15.75" customHeight="1" spans="1:2">
      <c r="A466" s="9"/>
      <c r="B466" s="9"/>
    </row>
    <row r="467" ht="15.75" customHeight="1" spans="1:2">
      <c r="A467" s="9"/>
      <c r="B467" s="9"/>
    </row>
    <row r="468" ht="15.75" customHeight="1" spans="1:2">
      <c r="A468" s="9"/>
      <c r="B468" s="9"/>
    </row>
    <row r="469" ht="15.75" customHeight="1" spans="1:2">
      <c r="A469" s="9"/>
      <c r="B469" s="9"/>
    </row>
    <row r="470" ht="15.75" customHeight="1" spans="1:2">
      <c r="A470" s="9"/>
      <c r="B470" s="9"/>
    </row>
    <row r="471" ht="15.75" customHeight="1" spans="1:2">
      <c r="A471" s="9"/>
      <c r="B471" s="9"/>
    </row>
    <row r="472" ht="15.75" customHeight="1" spans="1:2">
      <c r="A472" s="9"/>
      <c r="B472" s="9"/>
    </row>
    <row r="473" ht="15.75" customHeight="1" spans="1:2">
      <c r="A473" s="9"/>
      <c r="B473" s="9"/>
    </row>
    <row r="474" ht="15.75" customHeight="1" spans="1:2">
      <c r="A474" s="9"/>
      <c r="B474" s="9"/>
    </row>
    <row r="475" ht="15.75" customHeight="1" spans="1:2">
      <c r="A475" s="9"/>
      <c r="B475" s="9"/>
    </row>
    <row r="476" ht="15.75" customHeight="1" spans="1:2">
      <c r="A476" s="9"/>
      <c r="B476" s="9"/>
    </row>
    <row r="477" ht="15.75" customHeight="1" spans="1:2">
      <c r="A477" s="9"/>
      <c r="B477" s="9"/>
    </row>
    <row r="478" ht="15.75" customHeight="1" spans="1:2">
      <c r="A478" s="9"/>
      <c r="B478" s="9"/>
    </row>
    <row r="479" ht="15.75" customHeight="1" spans="1:2">
      <c r="A479" s="9"/>
      <c r="B479" s="9"/>
    </row>
    <row r="480" ht="15.75" customHeight="1" spans="1:2">
      <c r="A480" s="9"/>
      <c r="B480" s="9"/>
    </row>
    <row r="481" ht="15.75" customHeight="1" spans="1:2">
      <c r="A481" s="9"/>
      <c r="B481" s="9"/>
    </row>
    <row r="482" ht="15.75" customHeight="1" spans="1:2">
      <c r="A482" s="9"/>
      <c r="B482" s="9"/>
    </row>
    <row r="483" ht="15.75" customHeight="1" spans="1:2">
      <c r="A483" s="9"/>
      <c r="B483" s="9"/>
    </row>
    <row r="484" ht="15.75" customHeight="1" spans="1:2">
      <c r="A484" s="9"/>
      <c r="B484" s="9"/>
    </row>
    <row r="485" ht="15.75" customHeight="1" spans="1:2">
      <c r="A485" s="9"/>
      <c r="B485" s="9"/>
    </row>
    <row r="486" ht="15.75" customHeight="1" spans="1:2">
      <c r="A486" s="9"/>
      <c r="B486" s="9"/>
    </row>
    <row r="487" ht="15.75" customHeight="1" spans="1:2">
      <c r="A487" s="9"/>
      <c r="B487" s="9"/>
    </row>
    <row r="488" ht="15.75" customHeight="1" spans="1:2">
      <c r="A488" s="9"/>
      <c r="B488" s="9"/>
    </row>
    <row r="489" ht="15.75" customHeight="1" spans="1:2">
      <c r="A489" s="9"/>
      <c r="B489" s="9"/>
    </row>
    <row r="490" ht="15.75" customHeight="1" spans="1:2">
      <c r="A490" s="9"/>
      <c r="B490" s="9"/>
    </row>
    <row r="491" ht="15.75" customHeight="1" spans="1:2">
      <c r="A491" s="9"/>
      <c r="B491" s="9"/>
    </row>
    <row r="492" ht="15.75" customHeight="1" spans="1:2">
      <c r="A492" s="9"/>
      <c r="B492" s="9"/>
    </row>
    <row r="493" ht="15.75" customHeight="1" spans="1:2">
      <c r="A493" s="9"/>
      <c r="B493" s="9"/>
    </row>
    <row r="494" ht="15.75" customHeight="1" spans="1:2">
      <c r="A494" s="9"/>
      <c r="B494" s="9"/>
    </row>
    <row r="495" ht="15.75" customHeight="1" spans="1:2">
      <c r="A495" s="9"/>
      <c r="B495" s="9"/>
    </row>
    <row r="496" ht="15.75" customHeight="1" spans="1:2">
      <c r="A496" s="9"/>
      <c r="B496" s="9"/>
    </row>
    <row r="497" ht="15.75" customHeight="1" spans="1:2">
      <c r="A497" s="9"/>
      <c r="B497" s="9"/>
    </row>
    <row r="498" ht="15.75" customHeight="1" spans="1:2">
      <c r="A498" s="9"/>
      <c r="B498" s="9"/>
    </row>
    <row r="499" ht="15.75" customHeight="1" spans="1:2">
      <c r="A499" s="9"/>
      <c r="B499" s="9"/>
    </row>
    <row r="500" ht="15.75" customHeight="1" spans="1:2">
      <c r="A500" s="9"/>
      <c r="B500" s="9"/>
    </row>
    <row r="501" ht="15.75" customHeight="1" spans="1:2">
      <c r="A501" s="9"/>
      <c r="B501" s="9"/>
    </row>
    <row r="502" ht="15.75" customHeight="1" spans="1:2">
      <c r="A502" s="9"/>
      <c r="B502" s="9"/>
    </row>
    <row r="503" ht="15.75" customHeight="1" spans="1:2">
      <c r="A503" s="9"/>
      <c r="B503" s="9"/>
    </row>
    <row r="504" ht="15.75" customHeight="1" spans="1:2">
      <c r="A504" s="9"/>
      <c r="B504" s="9"/>
    </row>
    <row r="505" ht="15.75" customHeight="1" spans="1:2">
      <c r="A505" s="9"/>
      <c r="B505" s="9"/>
    </row>
    <row r="506" ht="15.75" customHeight="1" spans="1:2">
      <c r="A506" s="9"/>
      <c r="B506" s="9"/>
    </row>
    <row r="507" ht="15.75" customHeight="1" spans="1:2">
      <c r="A507" s="9"/>
      <c r="B507" s="9"/>
    </row>
    <row r="508" ht="15.75" customHeight="1" spans="1:2">
      <c r="A508" s="9"/>
      <c r="B508" s="9"/>
    </row>
    <row r="509" ht="15.75" customHeight="1" spans="1:2">
      <c r="A509" s="9"/>
      <c r="B509" s="9"/>
    </row>
    <row r="510" ht="15.75" customHeight="1" spans="1:2">
      <c r="A510" s="9"/>
      <c r="B510" s="9"/>
    </row>
    <row r="511" ht="15.75" customHeight="1" spans="1:2">
      <c r="A511" s="9"/>
      <c r="B511" s="9"/>
    </row>
    <row r="512" ht="15.75" customHeight="1" spans="1:2">
      <c r="A512" s="9"/>
      <c r="B512" s="9"/>
    </row>
    <row r="513" ht="15.75" customHeight="1" spans="1:2">
      <c r="A513" s="9"/>
      <c r="B513" s="9"/>
    </row>
    <row r="514" ht="15.75" customHeight="1" spans="1:2">
      <c r="A514" s="9"/>
      <c r="B514" s="9"/>
    </row>
    <row r="515" ht="15.75" customHeight="1" spans="1:2">
      <c r="A515" s="9"/>
      <c r="B515" s="9"/>
    </row>
    <row r="516" ht="15.75" customHeight="1" spans="1:2">
      <c r="A516" s="9"/>
      <c r="B516" s="9"/>
    </row>
    <row r="517" ht="15.75" customHeight="1" spans="1:2">
      <c r="A517" s="9"/>
      <c r="B517" s="9"/>
    </row>
    <row r="518" ht="15.75" customHeight="1" spans="1:2">
      <c r="A518" s="9"/>
      <c r="B518" s="9"/>
    </row>
    <row r="519" ht="15.75" customHeight="1" spans="1:2">
      <c r="A519" s="9"/>
      <c r="B519" s="9"/>
    </row>
    <row r="520" ht="15.75" customHeight="1" spans="1:2">
      <c r="A520" s="9"/>
      <c r="B520" s="9"/>
    </row>
    <row r="521" ht="15.75" customHeight="1" spans="1:2">
      <c r="A521" s="9"/>
      <c r="B521" s="9"/>
    </row>
    <row r="522" ht="15.75" customHeight="1" spans="1:2">
      <c r="A522" s="9"/>
      <c r="B522" s="9"/>
    </row>
    <row r="523" ht="15.75" customHeight="1" spans="1:2">
      <c r="A523" s="9"/>
      <c r="B523" s="9"/>
    </row>
    <row r="524" ht="15.75" customHeight="1" spans="1:2">
      <c r="A524" s="9"/>
      <c r="B524" s="9"/>
    </row>
    <row r="525" ht="15.75" customHeight="1" spans="1:2">
      <c r="A525" s="9"/>
      <c r="B525" s="9"/>
    </row>
    <row r="526" ht="15.75" customHeight="1" spans="1:2">
      <c r="A526" s="9"/>
      <c r="B526" s="9"/>
    </row>
    <row r="527" ht="15.75" customHeight="1" spans="1:2">
      <c r="A527" s="9"/>
      <c r="B527" s="9"/>
    </row>
    <row r="528" ht="15.75" customHeight="1" spans="1:2">
      <c r="A528" s="9"/>
      <c r="B528" s="9"/>
    </row>
    <row r="529" ht="15.75" customHeight="1" spans="1:2">
      <c r="A529" s="9"/>
      <c r="B529" s="9"/>
    </row>
    <row r="530" ht="15.75" customHeight="1" spans="1:2">
      <c r="A530" s="9"/>
      <c r="B530" s="9"/>
    </row>
    <row r="531" ht="15.75" customHeight="1" spans="1:2">
      <c r="A531" s="9"/>
      <c r="B531" s="9"/>
    </row>
    <row r="532" ht="15.75" customHeight="1" spans="1:2">
      <c r="A532" s="9"/>
      <c r="B532" s="9"/>
    </row>
    <row r="533" ht="15.75" customHeight="1" spans="1:2">
      <c r="A533" s="9"/>
      <c r="B533" s="9"/>
    </row>
    <row r="534" ht="15.75" customHeight="1" spans="1:2">
      <c r="A534" s="9"/>
      <c r="B534" s="9"/>
    </row>
    <row r="535" ht="15.75" customHeight="1" spans="1:2">
      <c r="A535" s="9"/>
      <c r="B535" s="9"/>
    </row>
    <row r="536" ht="15.75" customHeight="1" spans="1:2">
      <c r="A536" s="9"/>
      <c r="B536" s="9"/>
    </row>
    <row r="537" ht="15.75" customHeight="1" spans="1:2">
      <c r="A537" s="9"/>
      <c r="B537" s="9"/>
    </row>
    <row r="538" ht="15.75" customHeight="1" spans="1:2">
      <c r="A538" s="9"/>
      <c r="B538" s="9"/>
    </row>
    <row r="539" ht="15.75" customHeight="1" spans="1:2">
      <c r="A539" s="9"/>
      <c r="B539" s="9"/>
    </row>
    <row r="540" ht="15.75" customHeight="1" spans="1:2">
      <c r="A540" s="9"/>
      <c r="B540" s="9"/>
    </row>
    <row r="541" ht="15.75" customHeight="1" spans="1:2">
      <c r="A541" s="9"/>
      <c r="B541" s="9"/>
    </row>
    <row r="542" ht="15.75" customHeight="1" spans="1:2">
      <c r="A542" s="9"/>
      <c r="B542" s="9"/>
    </row>
    <row r="543" ht="15.75" customHeight="1" spans="1:2">
      <c r="A543" s="9"/>
      <c r="B543" s="9"/>
    </row>
    <row r="544" ht="15.75" customHeight="1" spans="1:2">
      <c r="A544" s="9"/>
      <c r="B544" s="9"/>
    </row>
    <row r="545" ht="15.75" customHeight="1" spans="1:2">
      <c r="A545" s="9"/>
      <c r="B545" s="9"/>
    </row>
    <row r="546" ht="15.75" customHeight="1" spans="1:2">
      <c r="A546" s="9"/>
      <c r="B546" s="9"/>
    </row>
    <row r="547" ht="15.75" customHeight="1" spans="1:2">
      <c r="A547" s="9"/>
      <c r="B547" s="9"/>
    </row>
    <row r="548" ht="15.75" customHeight="1" spans="1:2">
      <c r="A548" s="9"/>
      <c r="B548" s="9"/>
    </row>
    <row r="549" ht="15.75" customHeight="1" spans="1:2">
      <c r="A549" s="9"/>
      <c r="B549" s="9"/>
    </row>
    <row r="550" ht="15.75" customHeight="1" spans="1:2">
      <c r="A550" s="9"/>
      <c r="B550" s="9"/>
    </row>
    <row r="551" ht="15.75" customHeight="1" spans="1:2">
      <c r="A551" s="9"/>
      <c r="B551" s="9"/>
    </row>
    <row r="552" ht="15.75" customHeight="1" spans="1:2">
      <c r="A552" s="9"/>
      <c r="B552" s="9"/>
    </row>
    <row r="553" ht="15.75" customHeight="1" spans="1:2">
      <c r="A553" s="9"/>
      <c r="B553" s="9"/>
    </row>
    <row r="554" ht="15.75" customHeight="1" spans="1:2">
      <c r="A554" s="9"/>
      <c r="B554" s="9"/>
    </row>
    <row r="555" ht="15.75" customHeight="1" spans="1:2">
      <c r="A555" s="9"/>
      <c r="B555" s="9"/>
    </row>
    <row r="556" ht="15.75" customHeight="1" spans="1:2">
      <c r="A556" s="9"/>
      <c r="B556" s="9"/>
    </row>
    <row r="557" ht="15.75" customHeight="1" spans="1:2">
      <c r="A557" s="9"/>
      <c r="B557" s="9"/>
    </row>
    <row r="558" ht="15.75" customHeight="1" spans="1:2">
      <c r="A558" s="9"/>
      <c r="B558" s="9"/>
    </row>
    <row r="559" ht="15.75" customHeight="1" spans="1:2">
      <c r="A559" s="9"/>
      <c r="B559" s="9"/>
    </row>
    <row r="560" ht="15.75" customHeight="1" spans="1:2">
      <c r="A560" s="9"/>
      <c r="B560" s="9"/>
    </row>
    <row r="561" ht="15.75" customHeight="1" spans="1:2">
      <c r="A561" s="9"/>
      <c r="B561" s="9"/>
    </row>
    <row r="562" ht="15.75" customHeight="1" spans="1:2">
      <c r="A562" s="9"/>
      <c r="B562" s="9"/>
    </row>
    <row r="563" ht="15.75" customHeight="1" spans="1:2">
      <c r="A563" s="9"/>
      <c r="B563" s="9"/>
    </row>
    <row r="564" ht="15.75" customHeight="1" spans="1:2">
      <c r="A564" s="9"/>
      <c r="B564" s="9"/>
    </row>
    <row r="565" ht="15.75" customHeight="1" spans="1:2">
      <c r="A565" s="9"/>
      <c r="B565" s="9"/>
    </row>
    <row r="566" ht="15.75" customHeight="1" spans="1:2">
      <c r="A566" s="9"/>
      <c r="B566" s="9"/>
    </row>
    <row r="567" ht="15.75" customHeight="1" spans="1:2">
      <c r="A567" s="9"/>
      <c r="B567" s="9"/>
    </row>
    <row r="568" ht="15.75" customHeight="1" spans="1:2">
      <c r="A568" s="9"/>
      <c r="B568" s="9"/>
    </row>
    <row r="569" ht="15.75" customHeight="1" spans="1:2">
      <c r="A569" s="9"/>
      <c r="B569" s="9"/>
    </row>
    <row r="570" ht="15.75" customHeight="1" spans="1:2">
      <c r="A570" s="9"/>
      <c r="B570" s="9"/>
    </row>
    <row r="571" ht="15.75" customHeight="1" spans="1:2">
      <c r="A571" s="9"/>
      <c r="B571" s="9"/>
    </row>
    <row r="572" ht="15.75" customHeight="1" spans="1:2">
      <c r="A572" s="9"/>
      <c r="B572" s="9"/>
    </row>
    <row r="573" ht="15.75" customHeight="1" spans="1:2">
      <c r="A573" s="9"/>
      <c r="B573" s="9"/>
    </row>
    <row r="574" ht="15.75" customHeight="1" spans="1:2">
      <c r="A574" s="9"/>
      <c r="B574" s="9"/>
    </row>
    <row r="575" ht="15.75" customHeight="1" spans="1:2">
      <c r="A575" s="9"/>
      <c r="B575" s="9"/>
    </row>
    <row r="576" ht="15.75" customHeight="1" spans="1:2">
      <c r="A576" s="9"/>
      <c r="B576" s="9"/>
    </row>
    <row r="577" ht="15.75" customHeight="1" spans="1:2">
      <c r="A577" s="9"/>
      <c r="B577" s="9"/>
    </row>
    <row r="578" ht="15.75" customHeight="1" spans="1:2">
      <c r="A578" s="9"/>
      <c r="B578" s="9"/>
    </row>
    <row r="579" ht="15.75" customHeight="1" spans="1:2">
      <c r="A579" s="9"/>
      <c r="B579" s="9"/>
    </row>
    <row r="580" ht="15.75" customHeight="1" spans="1:2">
      <c r="A580" s="9"/>
      <c r="B580" s="9"/>
    </row>
    <row r="581" ht="15.75" customHeight="1" spans="1:2">
      <c r="A581" s="9"/>
      <c r="B581" s="9"/>
    </row>
    <row r="582" ht="15.75" customHeight="1" spans="1:2">
      <c r="A582" s="9"/>
      <c r="B582" s="9"/>
    </row>
    <row r="583" ht="15.75" customHeight="1" spans="1:2">
      <c r="A583" s="9"/>
      <c r="B583" s="9"/>
    </row>
    <row r="584" ht="15.75" customHeight="1" spans="1:2">
      <c r="A584" s="9"/>
      <c r="B584" s="9"/>
    </row>
    <row r="585" ht="15.75" customHeight="1" spans="1:2">
      <c r="A585" s="9"/>
      <c r="B585" s="9"/>
    </row>
    <row r="586" ht="15.75" customHeight="1" spans="1:2">
      <c r="A586" s="9"/>
      <c r="B586" s="9"/>
    </row>
    <row r="587" ht="15.75" customHeight="1" spans="1:2">
      <c r="A587" s="9"/>
      <c r="B587" s="9"/>
    </row>
    <row r="588" ht="15.75" customHeight="1" spans="1:2">
      <c r="A588" s="9"/>
      <c r="B588" s="9"/>
    </row>
    <row r="589" ht="15.75" customHeight="1" spans="1:2">
      <c r="A589" s="9"/>
      <c r="B589" s="9"/>
    </row>
    <row r="590" ht="15.75" customHeight="1" spans="1:2">
      <c r="A590" s="9"/>
      <c r="B590" s="9"/>
    </row>
    <row r="591" ht="15.75" customHeight="1" spans="1:2">
      <c r="A591" s="9"/>
      <c r="B591" s="9"/>
    </row>
    <row r="592" ht="15.75" customHeight="1" spans="1:2">
      <c r="A592" s="9"/>
      <c r="B592" s="9"/>
    </row>
    <row r="593" ht="15.75" customHeight="1" spans="1:2">
      <c r="A593" s="9"/>
      <c r="B593" s="9"/>
    </row>
    <row r="594" ht="15.75" customHeight="1" spans="1:2">
      <c r="A594" s="9"/>
      <c r="B594" s="9"/>
    </row>
    <row r="595" ht="15.75" customHeight="1" spans="1:2">
      <c r="A595" s="9"/>
      <c r="B595" s="9"/>
    </row>
    <row r="596" ht="15.75" customHeight="1" spans="1:2">
      <c r="A596" s="9"/>
      <c r="B596" s="9"/>
    </row>
    <row r="597" ht="15.75" customHeight="1" spans="1:2">
      <c r="A597" s="9"/>
      <c r="B597" s="9"/>
    </row>
    <row r="598" ht="15.75" customHeight="1" spans="1:2">
      <c r="A598" s="9"/>
      <c r="B598" s="9"/>
    </row>
    <row r="599" ht="15.75" customHeight="1" spans="1:2">
      <c r="A599" s="9"/>
      <c r="B599" s="9"/>
    </row>
    <row r="600" ht="15.75" customHeight="1" spans="1:2">
      <c r="A600" s="9"/>
      <c r="B600" s="9"/>
    </row>
    <row r="601" ht="15.75" customHeight="1" spans="1:2">
      <c r="A601" s="9"/>
      <c r="B601" s="9"/>
    </row>
    <row r="602" ht="15.75" customHeight="1" spans="1:2">
      <c r="A602" s="9"/>
      <c r="B602" s="9"/>
    </row>
    <row r="603" ht="15.75" customHeight="1" spans="1:2">
      <c r="A603" s="9"/>
      <c r="B603" s="9"/>
    </row>
    <row r="604" ht="15.75" customHeight="1" spans="1:2">
      <c r="A604" s="9"/>
      <c r="B604" s="9"/>
    </row>
    <row r="605" ht="15.75" customHeight="1" spans="1:2">
      <c r="A605" s="9"/>
      <c r="B605" s="9"/>
    </row>
    <row r="606" ht="15.75" customHeight="1" spans="1:2">
      <c r="A606" s="9"/>
      <c r="B606" s="9"/>
    </row>
    <row r="607" ht="15.75" customHeight="1" spans="1:2">
      <c r="A607" s="9"/>
      <c r="B607" s="9"/>
    </row>
    <row r="608" ht="15.75" customHeight="1" spans="1:2">
      <c r="A608" s="9"/>
      <c r="B608" s="9"/>
    </row>
    <row r="609" ht="15.75" customHeight="1" spans="1:2">
      <c r="A609" s="9"/>
      <c r="B609" s="9"/>
    </row>
    <row r="610" ht="15.75" customHeight="1" spans="1:2">
      <c r="A610" s="9"/>
      <c r="B610" s="9"/>
    </row>
    <row r="611" ht="15.75" customHeight="1" spans="1:2">
      <c r="A611" s="9"/>
      <c r="B611" s="9"/>
    </row>
    <row r="612" ht="15.75" customHeight="1" spans="1:2">
      <c r="A612" s="9"/>
      <c r="B612" s="9"/>
    </row>
    <row r="613" ht="15.75" customHeight="1" spans="1:2">
      <c r="A613" s="9"/>
      <c r="B613" s="9"/>
    </row>
    <row r="614" ht="15.75" customHeight="1" spans="1:2">
      <c r="A614" s="9"/>
      <c r="B614" s="9"/>
    </row>
    <row r="615" ht="15.75" customHeight="1" spans="1:2">
      <c r="A615" s="9"/>
      <c r="B615" s="9"/>
    </row>
    <row r="616" ht="15.75" customHeight="1" spans="1:2">
      <c r="A616" s="9"/>
      <c r="B616" s="9"/>
    </row>
    <row r="617" ht="15.75" customHeight="1" spans="1:2">
      <c r="A617" s="9"/>
      <c r="B617" s="9"/>
    </row>
    <row r="618" ht="15.75" customHeight="1" spans="1:2">
      <c r="A618" s="9"/>
      <c r="B618" s="9"/>
    </row>
    <row r="619" ht="15.75" customHeight="1" spans="1:2">
      <c r="A619" s="9"/>
      <c r="B619" s="9"/>
    </row>
    <row r="620" ht="15.75" customHeight="1" spans="1:2">
      <c r="A620" s="9"/>
      <c r="B620" s="9"/>
    </row>
    <row r="621" ht="15.75" customHeight="1" spans="1:2">
      <c r="A621" s="9"/>
      <c r="B621" s="9"/>
    </row>
    <row r="622" ht="15.75" customHeight="1" spans="1:2">
      <c r="A622" s="9"/>
      <c r="B622" s="9"/>
    </row>
    <row r="623" ht="15.75" customHeight="1" spans="1:2">
      <c r="A623" s="9"/>
      <c r="B623" s="9"/>
    </row>
    <row r="624" ht="15.75" customHeight="1" spans="1:2">
      <c r="A624" s="9"/>
      <c r="B624" s="9"/>
    </row>
    <row r="625" ht="15.75" customHeight="1" spans="1:2">
      <c r="A625" s="9"/>
      <c r="B625" s="9"/>
    </row>
    <row r="626" ht="15.75" customHeight="1" spans="1:2">
      <c r="A626" s="9"/>
      <c r="B626" s="9"/>
    </row>
    <row r="627" ht="15.75" customHeight="1" spans="1:2">
      <c r="A627" s="9"/>
      <c r="B627" s="9"/>
    </row>
    <row r="628" ht="15.75" customHeight="1" spans="1:2">
      <c r="A628" s="9"/>
      <c r="B628" s="9"/>
    </row>
    <row r="629" ht="15.75" customHeight="1" spans="1:2">
      <c r="A629" s="9"/>
      <c r="B629" s="9"/>
    </row>
    <row r="630" ht="15.75" customHeight="1" spans="1:2">
      <c r="A630" s="9"/>
      <c r="B630" s="9"/>
    </row>
    <row r="631" ht="15.75" customHeight="1" spans="1:2">
      <c r="A631" s="9"/>
      <c r="B631" s="9"/>
    </row>
    <row r="632" ht="15.75" customHeight="1" spans="1:2">
      <c r="A632" s="9"/>
      <c r="B632" s="9"/>
    </row>
    <row r="633" ht="15.75" customHeight="1" spans="1:2">
      <c r="A633" s="9"/>
      <c r="B633" s="9"/>
    </row>
    <row r="634" ht="15.75" customHeight="1" spans="1:2">
      <c r="A634" s="9"/>
      <c r="B634" s="9"/>
    </row>
    <row r="635" ht="15.75" customHeight="1" spans="1:2">
      <c r="A635" s="9"/>
      <c r="B635" s="9"/>
    </row>
    <row r="636" ht="15.75" customHeight="1" spans="1:2">
      <c r="A636" s="9"/>
      <c r="B636" s="9"/>
    </row>
    <row r="637" ht="15.75" customHeight="1" spans="1:2">
      <c r="A637" s="9"/>
      <c r="B637" s="9"/>
    </row>
    <row r="638" ht="15.75" customHeight="1" spans="1:2">
      <c r="A638" s="9"/>
      <c r="B638" s="9"/>
    </row>
    <row r="639" ht="15.75" customHeight="1" spans="1:2">
      <c r="A639" s="9"/>
      <c r="B639" s="9"/>
    </row>
    <row r="640" ht="15.75" customHeight="1" spans="1:2">
      <c r="A640" s="9"/>
      <c r="B640" s="9"/>
    </row>
    <row r="641" ht="15.75" customHeight="1" spans="1:2">
      <c r="A641" s="9"/>
      <c r="B641" s="9"/>
    </row>
    <row r="642" ht="15.75" customHeight="1" spans="1:2">
      <c r="A642" s="9"/>
      <c r="B642" s="9"/>
    </row>
    <row r="643" ht="15.75" customHeight="1" spans="1:2">
      <c r="A643" s="9"/>
      <c r="B643" s="9"/>
    </row>
    <row r="644" ht="15.75" customHeight="1" spans="1:2">
      <c r="A644" s="9"/>
      <c r="B644" s="9"/>
    </row>
    <row r="645" ht="15.75" customHeight="1" spans="1:2">
      <c r="A645" s="9"/>
      <c r="B645" s="9"/>
    </row>
    <row r="646" ht="15.75" customHeight="1" spans="1:2">
      <c r="A646" s="9"/>
      <c r="B646" s="9"/>
    </row>
    <row r="647" ht="15.75" customHeight="1" spans="1:2">
      <c r="A647" s="9"/>
      <c r="B647" s="9"/>
    </row>
    <row r="648" ht="15.75" customHeight="1" spans="1:2">
      <c r="A648" s="9"/>
      <c r="B648" s="9"/>
    </row>
    <row r="649" ht="15.75" customHeight="1" spans="1:2">
      <c r="A649" s="9"/>
      <c r="B649" s="9"/>
    </row>
    <row r="650" ht="15.75" customHeight="1" spans="1:2">
      <c r="A650" s="9"/>
      <c r="B650" s="9"/>
    </row>
    <row r="651" ht="15.75" customHeight="1" spans="1:2">
      <c r="A651" s="9"/>
      <c r="B651" s="9"/>
    </row>
    <row r="652" ht="15.75" customHeight="1" spans="1:2">
      <c r="A652" s="9"/>
      <c r="B652" s="9"/>
    </row>
    <row r="653" ht="15.75" customHeight="1" spans="1:2">
      <c r="A653" s="9"/>
      <c r="B653" s="9"/>
    </row>
    <row r="654" ht="15.75" customHeight="1" spans="1:2">
      <c r="A654" s="9"/>
      <c r="B654" s="9"/>
    </row>
    <row r="655" ht="15.75" customHeight="1" spans="1:2">
      <c r="A655" s="9"/>
      <c r="B655" s="9"/>
    </row>
    <row r="656" ht="15.75" customHeight="1" spans="1:2">
      <c r="A656" s="9"/>
      <c r="B656" s="9"/>
    </row>
    <row r="657" ht="15.75" customHeight="1" spans="1:2">
      <c r="A657" s="9"/>
      <c r="B657" s="9"/>
    </row>
    <row r="658" ht="15.75" customHeight="1" spans="1:2">
      <c r="A658" s="9"/>
      <c r="B658" s="9"/>
    </row>
    <row r="659" ht="15.75" customHeight="1" spans="1:2">
      <c r="A659" s="9"/>
      <c r="B659" s="9"/>
    </row>
    <row r="660" ht="15.75" customHeight="1" spans="1:2">
      <c r="A660" s="9"/>
      <c r="B660" s="9"/>
    </row>
    <row r="661" ht="15.75" customHeight="1" spans="1:2">
      <c r="A661" s="9"/>
      <c r="B661" s="9"/>
    </row>
    <row r="662" ht="15.75" customHeight="1" spans="1:2">
      <c r="A662" s="9"/>
      <c r="B662" s="9"/>
    </row>
    <row r="663" ht="15.75" customHeight="1" spans="1:2">
      <c r="A663" s="9"/>
      <c r="B663" s="9"/>
    </row>
    <row r="664" ht="15.75" customHeight="1" spans="1:2">
      <c r="A664" s="9"/>
      <c r="B664" s="9"/>
    </row>
    <row r="665" ht="15.75" customHeight="1" spans="1:2">
      <c r="A665" s="9"/>
      <c r="B665" s="9"/>
    </row>
    <row r="666" ht="15.75" customHeight="1" spans="1:2">
      <c r="A666" s="9"/>
      <c r="B666" s="9"/>
    </row>
    <row r="667" ht="15.75" customHeight="1" spans="1:2">
      <c r="A667" s="9"/>
      <c r="B667" s="9"/>
    </row>
    <row r="668" ht="15.75" customHeight="1" spans="1:2">
      <c r="A668" s="9"/>
      <c r="B668" s="9"/>
    </row>
    <row r="669" ht="15.75" customHeight="1" spans="1:2">
      <c r="A669" s="9"/>
      <c r="B669" s="9"/>
    </row>
    <row r="670" ht="15.75" customHeight="1" spans="1:2">
      <c r="A670" s="9"/>
      <c r="B670" s="9"/>
    </row>
    <row r="671" ht="15.75" customHeight="1" spans="1:2">
      <c r="A671" s="9"/>
      <c r="B671" s="9"/>
    </row>
    <row r="672" ht="15.75" customHeight="1" spans="1:2">
      <c r="A672" s="9"/>
      <c r="B672" s="9"/>
    </row>
    <row r="673" ht="15.75" customHeight="1" spans="1:2">
      <c r="A673" s="9"/>
      <c r="B673" s="9"/>
    </row>
    <row r="674" ht="15.75" customHeight="1" spans="1:2">
      <c r="A674" s="9"/>
      <c r="B674" s="9"/>
    </row>
    <row r="675" ht="15.75" customHeight="1" spans="1:2">
      <c r="A675" s="9"/>
      <c r="B675" s="9"/>
    </row>
    <row r="676" ht="15.75" customHeight="1" spans="1:2">
      <c r="A676" s="9"/>
      <c r="B676" s="9"/>
    </row>
    <row r="677" ht="15.75" customHeight="1" spans="1:2">
      <c r="A677" s="9"/>
      <c r="B677" s="9"/>
    </row>
    <row r="678" ht="15.75" customHeight="1" spans="1:2">
      <c r="A678" s="9"/>
      <c r="B678" s="9"/>
    </row>
    <row r="679" ht="15.75" customHeight="1" spans="1:2">
      <c r="A679" s="9"/>
      <c r="B679" s="9"/>
    </row>
    <row r="680" ht="15.75" customHeight="1" spans="1:2">
      <c r="A680" s="9"/>
      <c r="B680" s="9"/>
    </row>
    <row r="681" ht="15.75" customHeight="1" spans="1:2">
      <c r="A681" s="9"/>
      <c r="B681" s="9"/>
    </row>
    <row r="682" ht="15.75" customHeight="1" spans="1:2">
      <c r="A682" s="9"/>
      <c r="B682" s="9"/>
    </row>
    <row r="683" ht="15.75" customHeight="1" spans="1:2">
      <c r="A683" s="9"/>
      <c r="B683" s="9"/>
    </row>
    <row r="684" ht="15.75" customHeight="1" spans="1:2">
      <c r="A684" s="9"/>
      <c r="B684" s="9"/>
    </row>
    <row r="685" ht="15.75" customHeight="1" spans="1:2">
      <c r="A685" s="9"/>
      <c r="B685" s="9"/>
    </row>
    <row r="686" ht="15.75" customHeight="1" spans="1:2">
      <c r="A686" s="9"/>
      <c r="B686" s="9"/>
    </row>
    <row r="687" ht="15.75" customHeight="1" spans="1:2">
      <c r="A687" s="9"/>
      <c r="B687" s="9"/>
    </row>
    <row r="688" ht="15.75" customHeight="1" spans="1:2">
      <c r="A688" s="9"/>
      <c r="B688" s="9"/>
    </row>
    <row r="689" ht="15.75" customHeight="1" spans="1:2">
      <c r="A689" s="9"/>
      <c r="B689" s="9"/>
    </row>
    <row r="690" ht="15.75" customHeight="1" spans="1:2">
      <c r="A690" s="9"/>
      <c r="B690" s="9"/>
    </row>
    <row r="691" ht="15.75" customHeight="1" spans="1:2">
      <c r="A691" s="9"/>
      <c r="B691" s="9"/>
    </row>
    <row r="692" ht="15.75" customHeight="1" spans="1:2">
      <c r="A692" s="9"/>
      <c r="B692" s="9"/>
    </row>
    <row r="693" ht="15.75" customHeight="1" spans="1:2">
      <c r="A693" s="9"/>
      <c r="B693" s="9"/>
    </row>
    <row r="694" ht="15.75" customHeight="1" spans="1:2">
      <c r="A694" s="9"/>
      <c r="B694" s="9"/>
    </row>
    <row r="695" ht="15.75" customHeight="1" spans="1:2">
      <c r="A695" s="9"/>
      <c r="B695" s="9"/>
    </row>
    <row r="696" ht="15.75" customHeight="1" spans="1:2">
      <c r="A696" s="9"/>
      <c r="B696" s="9"/>
    </row>
    <row r="697" ht="15.75" customHeight="1" spans="1:2">
      <c r="A697" s="9"/>
      <c r="B697" s="9"/>
    </row>
    <row r="698" ht="15.75" customHeight="1" spans="1:2">
      <c r="A698" s="9"/>
      <c r="B698" s="9"/>
    </row>
    <row r="699" ht="15.75" customHeight="1" spans="1:2">
      <c r="A699" s="9"/>
      <c r="B699" s="9"/>
    </row>
    <row r="700" ht="15.75" customHeight="1" spans="1:2">
      <c r="A700" s="9"/>
      <c r="B700" s="9"/>
    </row>
    <row r="701" ht="15.75" customHeight="1" spans="1:2">
      <c r="A701" s="9"/>
      <c r="B701" s="9"/>
    </row>
    <row r="702" ht="15.75" customHeight="1" spans="1:2">
      <c r="A702" s="9"/>
      <c r="B702" s="9"/>
    </row>
    <row r="703" ht="15.75" customHeight="1" spans="1:2">
      <c r="A703" s="9"/>
      <c r="B703" s="9"/>
    </row>
    <row r="704" ht="15.75" customHeight="1" spans="1:2">
      <c r="A704" s="9"/>
      <c r="B704" s="9"/>
    </row>
    <row r="705" ht="15.75" customHeight="1" spans="1:2">
      <c r="A705" s="9"/>
      <c r="B705" s="9"/>
    </row>
    <row r="706" ht="15.75" customHeight="1" spans="1:2">
      <c r="A706" s="9"/>
      <c r="B706" s="9"/>
    </row>
    <row r="707" ht="15.75" customHeight="1" spans="1:2">
      <c r="A707" s="9"/>
      <c r="B707" s="9"/>
    </row>
    <row r="708" ht="15.75" customHeight="1" spans="1:2">
      <c r="A708" s="9"/>
      <c r="B708" s="9"/>
    </row>
    <row r="709" ht="15.75" customHeight="1" spans="1:2">
      <c r="A709" s="9"/>
      <c r="B709" s="9"/>
    </row>
    <row r="710" ht="15.75" customHeight="1" spans="1:2">
      <c r="A710" s="9"/>
      <c r="B710" s="9"/>
    </row>
    <row r="711" ht="15.75" customHeight="1" spans="1:2">
      <c r="A711" s="9"/>
      <c r="B711" s="9"/>
    </row>
    <row r="712" ht="15.75" customHeight="1" spans="1:2">
      <c r="A712" s="9"/>
      <c r="B712" s="9"/>
    </row>
    <row r="713" ht="15.75" customHeight="1" spans="1:2">
      <c r="A713" s="9"/>
      <c r="B713" s="9"/>
    </row>
    <row r="714" ht="15.75" customHeight="1" spans="1:2">
      <c r="A714" s="9"/>
      <c r="B714" s="9"/>
    </row>
    <row r="715" ht="15.75" customHeight="1" spans="1:2">
      <c r="A715" s="9"/>
      <c r="B715" s="9"/>
    </row>
    <row r="716" ht="15.75" customHeight="1" spans="1:2">
      <c r="A716" s="9"/>
      <c r="B716" s="9"/>
    </row>
    <row r="717" ht="15.75" customHeight="1" spans="1:2">
      <c r="A717" s="9"/>
      <c r="B717" s="9"/>
    </row>
    <row r="718" ht="15.75" customHeight="1" spans="1:2">
      <c r="A718" s="9"/>
      <c r="B718" s="9"/>
    </row>
    <row r="719" ht="15.75" customHeight="1" spans="1:2">
      <c r="A719" s="9"/>
      <c r="B719" s="9"/>
    </row>
    <row r="720" ht="15.75" customHeight="1" spans="1:2">
      <c r="A720" s="9"/>
      <c r="B720" s="9"/>
    </row>
    <row r="721" ht="15.75" customHeight="1" spans="1:2">
      <c r="A721" s="9"/>
      <c r="B721" s="9"/>
    </row>
    <row r="722" ht="15.75" customHeight="1" spans="1:2">
      <c r="A722" s="9"/>
      <c r="B722" s="9"/>
    </row>
    <row r="723" ht="15.75" customHeight="1" spans="1:2">
      <c r="A723" s="9"/>
      <c r="B723" s="9"/>
    </row>
    <row r="724" ht="15.75" customHeight="1" spans="1:2">
      <c r="A724" s="9"/>
      <c r="B724" s="9"/>
    </row>
    <row r="725" ht="15.75" customHeight="1" spans="1:2">
      <c r="A725" s="9"/>
      <c r="B725" s="9"/>
    </row>
    <row r="726" ht="15.75" customHeight="1" spans="1:2">
      <c r="A726" s="9"/>
      <c r="B726" s="9"/>
    </row>
    <row r="727" ht="15.75" customHeight="1" spans="1:2">
      <c r="A727" s="9"/>
      <c r="B727" s="9"/>
    </row>
    <row r="728" ht="15.75" customHeight="1" spans="1:2">
      <c r="A728" s="9"/>
      <c r="B728" s="9"/>
    </row>
    <row r="729" ht="15.75" customHeight="1" spans="1:2">
      <c r="A729" s="9"/>
      <c r="B729" s="9"/>
    </row>
    <row r="730" ht="15.75" customHeight="1" spans="1:2">
      <c r="A730" s="9"/>
      <c r="B730" s="9"/>
    </row>
    <row r="731" ht="15.75" customHeight="1" spans="1:2">
      <c r="A731" s="9"/>
      <c r="B731" s="9"/>
    </row>
    <row r="732" ht="15.75" customHeight="1" spans="1:2">
      <c r="A732" s="9"/>
      <c r="B732" s="9"/>
    </row>
    <row r="733" ht="15.75" customHeight="1" spans="1:2">
      <c r="A733" s="9"/>
      <c r="B733" s="9"/>
    </row>
    <row r="734" ht="15.75" customHeight="1" spans="1:2">
      <c r="A734" s="9"/>
      <c r="B734" s="9"/>
    </row>
    <row r="735" ht="15.75" customHeight="1" spans="1:2">
      <c r="A735" s="9"/>
      <c r="B735" s="9"/>
    </row>
    <row r="736" ht="15.75" customHeight="1" spans="1:2">
      <c r="A736" s="9"/>
      <c r="B736" s="9"/>
    </row>
    <row r="737" ht="15.75" customHeight="1" spans="1:2">
      <c r="A737" s="9"/>
      <c r="B737" s="9"/>
    </row>
    <row r="738" ht="15.75" customHeight="1" spans="1:2">
      <c r="A738" s="9"/>
      <c r="B738" s="9"/>
    </row>
    <row r="739" ht="15.75" customHeight="1" spans="1:2">
      <c r="A739" s="9"/>
      <c r="B739" s="9"/>
    </row>
    <row r="740" ht="15.75" customHeight="1" spans="1:2">
      <c r="A740" s="9"/>
      <c r="B740" s="9"/>
    </row>
    <row r="741" ht="15.75" customHeight="1" spans="1:2">
      <c r="A741" s="9"/>
      <c r="B741" s="9"/>
    </row>
    <row r="742" ht="15.75" customHeight="1" spans="1:2">
      <c r="A742" s="9"/>
      <c r="B742" s="9"/>
    </row>
    <row r="743" ht="15.75" customHeight="1" spans="1:2">
      <c r="A743" s="9"/>
      <c r="B743" s="9"/>
    </row>
    <row r="744" ht="15.75" customHeight="1" spans="1:2">
      <c r="A744" s="9"/>
      <c r="B744" s="9"/>
    </row>
    <row r="745" ht="15.75" customHeight="1" spans="1:2">
      <c r="A745" s="9"/>
      <c r="B745" s="9"/>
    </row>
    <row r="746" ht="15.75" customHeight="1" spans="1:2">
      <c r="A746" s="9"/>
      <c r="B746" s="9"/>
    </row>
    <row r="747" ht="15.75" customHeight="1" spans="1:2">
      <c r="A747" s="9"/>
      <c r="B747" s="9"/>
    </row>
    <row r="748" ht="15.75" customHeight="1" spans="1:2">
      <c r="A748" s="9"/>
      <c r="B748" s="9"/>
    </row>
    <row r="749" ht="15.75" customHeight="1" spans="1:2">
      <c r="A749" s="9"/>
      <c r="B749" s="9"/>
    </row>
    <row r="750" ht="15.75" customHeight="1" spans="1:2">
      <c r="A750" s="9"/>
      <c r="B750" s="9"/>
    </row>
    <row r="751" ht="15.75" customHeight="1" spans="1:2">
      <c r="A751" s="9"/>
      <c r="B751" s="9"/>
    </row>
    <row r="752" ht="15.75" customHeight="1" spans="1:2">
      <c r="A752" s="9"/>
      <c r="B752" s="9"/>
    </row>
    <row r="753" ht="15.75" customHeight="1" spans="1:2">
      <c r="A753" s="9"/>
      <c r="B753" s="9"/>
    </row>
    <row r="754" ht="15.75" customHeight="1" spans="1:2">
      <c r="A754" s="9"/>
      <c r="B754" s="9"/>
    </row>
    <row r="755" ht="15.75" customHeight="1" spans="1:2">
      <c r="A755" s="9"/>
      <c r="B755" s="9"/>
    </row>
    <row r="756" ht="15.75" customHeight="1" spans="1:2">
      <c r="A756" s="9"/>
      <c r="B756" s="9"/>
    </row>
    <row r="757" ht="15.75" customHeight="1" spans="1:2">
      <c r="A757" s="9"/>
      <c r="B757" s="9"/>
    </row>
    <row r="758" ht="15.75" customHeight="1" spans="1:2">
      <c r="A758" s="9"/>
      <c r="B758" s="9"/>
    </row>
    <row r="759" ht="15.75" customHeight="1" spans="1:2">
      <c r="A759" s="9"/>
      <c r="B759" s="9"/>
    </row>
    <row r="760" ht="15.75" customHeight="1" spans="1:2">
      <c r="A760" s="9"/>
      <c r="B760" s="9"/>
    </row>
    <row r="761" ht="15.75" customHeight="1" spans="1:2">
      <c r="A761" s="9"/>
      <c r="B761" s="9"/>
    </row>
    <row r="762" ht="15.75" customHeight="1" spans="1:2">
      <c r="A762" s="9"/>
      <c r="B762" s="9"/>
    </row>
    <row r="763" ht="15.75" customHeight="1" spans="1:2">
      <c r="A763" s="9"/>
      <c r="B763" s="9"/>
    </row>
    <row r="764" ht="15.75" customHeight="1" spans="1:2">
      <c r="A764" s="9"/>
      <c r="B764" s="9"/>
    </row>
    <row r="765" ht="15.75" customHeight="1" spans="1:2">
      <c r="A765" s="9"/>
      <c r="B765" s="9"/>
    </row>
    <row r="766" ht="15.75" customHeight="1" spans="1:2">
      <c r="A766" s="9"/>
      <c r="B766" s="9"/>
    </row>
    <row r="767" ht="15.75" customHeight="1" spans="1:2">
      <c r="A767" s="9"/>
      <c r="B767" s="9"/>
    </row>
    <row r="768" ht="15.75" customHeight="1" spans="1:2">
      <c r="A768" s="9"/>
      <c r="B768" s="9"/>
    </row>
    <row r="769" ht="15.75" customHeight="1" spans="1:2">
      <c r="A769" s="9"/>
      <c r="B769" s="9"/>
    </row>
    <row r="770" ht="15.75" customHeight="1" spans="1:2">
      <c r="A770" s="9"/>
      <c r="B770" s="9"/>
    </row>
    <row r="771" ht="15.75" customHeight="1" spans="1:2">
      <c r="A771" s="9"/>
      <c r="B771" s="9"/>
    </row>
    <row r="772" ht="15.75" customHeight="1" spans="1:2">
      <c r="A772" s="9"/>
      <c r="B772" s="9"/>
    </row>
    <row r="773" ht="15.75" customHeight="1" spans="1:2">
      <c r="A773" s="9"/>
      <c r="B773" s="9"/>
    </row>
    <row r="774" ht="15.75" customHeight="1" spans="1:2">
      <c r="A774" s="9"/>
      <c r="B774" s="9"/>
    </row>
    <row r="775" ht="15.75" customHeight="1" spans="1:2">
      <c r="A775" s="9"/>
      <c r="B775" s="9"/>
    </row>
    <row r="776" ht="15.75" customHeight="1" spans="1:2">
      <c r="A776" s="9"/>
      <c r="B776" s="9"/>
    </row>
    <row r="777" ht="15.75" customHeight="1" spans="1:2">
      <c r="A777" s="9"/>
      <c r="B777" s="9"/>
    </row>
    <row r="778" ht="15.75" customHeight="1" spans="1:2">
      <c r="A778" s="9"/>
      <c r="B778" s="9"/>
    </row>
    <row r="779" ht="15.75" customHeight="1" spans="1:2">
      <c r="A779" s="9"/>
      <c r="B779" s="9"/>
    </row>
    <row r="780" ht="15.75" customHeight="1" spans="1:2">
      <c r="A780" s="9"/>
      <c r="B780" s="9"/>
    </row>
    <row r="781" ht="15.75" customHeight="1" spans="1:2">
      <c r="A781" s="9"/>
      <c r="B781" s="9"/>
    </row>
    <row r="782" ht="15.75" customHeight="1" spans="1:2">
      <c r="A782" s="9"/>
      <c r="B782" s="9"/>
    </row>
    <row r="783" ht="15.75" customHeight="1" spans="1:2">
      <c r="A783" s="9"/>
      <c r="B783" s="9"/>
    </row>
    <row r="784" ht="15.75" customHeight="1" spans="1:2">
      <c r="A784" s="9"/>
      <c r="B784" s="9"/>
    </row>
    <row r="785" ht="15.75" customHeight="1" spans="1:2">
      <c r="A785" s="9"/>
      <c r="B785" s="9"/>
    </row>
    <row r="786" ht="15.75" customHeight="1" spans="1:2">
      <c r="A786" s="9"/>
      <c r="B786" s="9"/>
    </row>
    <row r="787" ht="15.75" customHeight="1" spans="1:2">
      <c r="A787" s="9"/>
      <c r="B787" s="9"/>
    </row>
    <row r="788" ht="15.75" customHeight="1" spans="1:2">
      <c r="A788" s="9"/>
      <c r="B788" s="9"/>
    </row>
    <row r="789" ht="15.75" customHeight="1" spans="1:2">
      <c r="A789" s="9"/>
      <c r="B789" s="9"/>
    </row>
    <row r="790" ht="15.75" customHeight="1" spans="1:2">
      <c r="A790" s="9"/>
      <c r="B790" s="9"/>
    </row>
    <row r="791" ht="15.75" customHeight="1" spans="1:2">
      <c r="A791" s="9"/>
      <c r="B791" s="9"/>
    </row>
    <row r="792" ht="15.75" customHeight="1" spans="1:2">
      <c r="A792" s="9"/>
      <c r="B792" s="9"/>
    </row>
    <row r="793" ht="15.75" customHeight="1" spans="1:2">
      <c r="A793" s="9"/>
      <c r="B793" s="9"/>
    </row>
    <row r="794" ht="15.75" customHeight="1" spans="1:2">
      <c r="A794" s="9"/>
      <c r="B794" s="9"/>
    </row>
    <row r="795" ht="15.75" customHeight="1" spans="1:2">
      <c r="A795" s="9"/>
      <c r="B795" s="9"/>
    </row>
    <row r="796" ht="15.75" customHeight="1" spans="1:2">
      <c r="A796" s="9"/>
      <c r="B796" s="9"/>
    </row>
    <row r="797" ht="15.75" customHeight="1" spans="1:2">
      <c r="A797" s="9"/>
      <c r="B797" s="9"/>
    </row>
    <row r="798" ht="15.75" customHeight="1" spans="1:2">
      <c r="A798" s="9"/>
      <c r="B798" s="9"/>
    </row>
    <row r="799" ht="15.75" customHeight="1" spans="1:2">
      <c r="A799" s="9"/>
      <c r="B799" s="9"/>
    </row>
    <row r="800" ht="15.75" customHeight="1" spans="1:2">
      <c r="A800" s="9"/>
      <c r="B800" s="9"/>
    </row>
    <row r="801" ht="15.75" customHeight="1" spans="1:2">
      <c r="A801" s="9"/>
      <c r="B801" s="9"/>
    </row>
    <row r="802" ht="15.75" customHeight="1" spans="1:2">
      <c r="A802" s="9"/>
      <c r="B802" s="9"/>
    </row>
    <row r="803" ht="15.75" customHeight="1" spans="1:2">
      <c r="A803" s="9"/>
      <c r="B803" s="9"/>
    </row>
    <row r="804" ht="15.75" customHeight="1" spans="1:2">
      <c r="A804" s="9"/>
      <c r="B804" s="9"/>
    </row>
    <row r="805" ht="15.75" customHeight="1" spans="1:2">
      <c r="A805" s="9"/>
      <c r="B805" s="9"/>
    </row>
    <row r="806" ht="15.75" customHeight="1" spans="1:2">
      <c r="A806" s="9"/>
      <c r="B806" s="9"/>
    </row>
    <row r="807" ht="15.75" customHeight="1" spans="1:2">
      <c r="A807" s="9"/>
      <c r="B807" s="9"/>
    </row>
    <row r="808" ht="15.75" customHeight="1" spans="1:2">
      <c r="A808" s="9"/>
      <c r="B808" s="9"/>
    </row>
    <row r="809" ht="15.75" customHeight="1" spans="1:2">
      <c r="A809" s="9"/>
      <c r="B809" s="9"/>
    </row>
    <row r="810" ht="15.75" customHeight="1" spans="1:2">
      <c r="A810" s="9"/>
      <c r="B810" s="9"/>
    </row>
    <row r="811" ht="15.75" customHeight="1" spans="1:2">
      <c r="A811" s="9"/>
      <c r="B811" s="9"/>
    </row>
    <row r="812" ht="15.75" customHeight="1" spans="1:2">
      <c r="A812" s="9"/>
      <c r="B812" s="9"/>
    </row>
    <row r="813" ht="15.75" customHeight="1" spans="1:2">
      <c r="A813" s="9"/>
      <c r="B813" s="9"/>
    </row>
    <row r="814" ht="15.75" customHeight="1" spans="1:2">
      <c r="A814" s="9"/>
      <c r="B814" s="9"/>
    </row>
    <row r="815" ht="15.75" customHeight="1" spans="1:2">
      <c r="A815" s="9"/>
      <c r="B815" s="9"/>
    </row>
    <row r="816" ht="15.75" customHeight="1" spans="1:2">
      <c r="A816" s="9"/>
      <c r="B816" s="9"/>
    </row>
    <row r="817" ht="15.75" customHeight="1" spans="1:2">
      <c r="A817" s="9"/>
      <c r="B817" s="9"/>
    </row>
    <row r="818" ht="15.75" customHeight="1" spans="1:2">
      <c r="A818" s="9"/>
      <c r="B818" s="9"/>
    </row>
    <row r="819" ht="15.75" customHeight="1" spans="1:2">
      <c r="A819" s="9"/>
      <c r="B819" s="9"/>
    </row>
    <row r="820" ht="15.75" customHeight="1" spans="1:2">
      <c r="A820" s="9"/>
      <c r="B820" s="9"/>
    </row>
    <row r="821" ht="15.75" customHeight="1" spans="1:2">
      <c r="A821" s="9"/>
      <c r="B821" s="9"/>
    </row>
    <row r="822" ht="15.75" customHeight="1" spans="1:2">
      <c r="A822" s="9"/>
      <c r="B822" s="9"/>
    </row>
    <row r="823" ht="15.75" customHeight="1" spans="1:2">
      <c r="A823" s="9"/>
      <c r="B823" s="9"/>
    </row>
    <row r="824" ht="15.75" customHeight="1" spans="1:2">
      <c r="A824" s="9"/>
      <c r="B824" s="9"/>
    </row>
    <row r="825" ht="15.75" customHeight="1" spans="1:2">
      <c r="A825" s="9"/>
      <c r="B825" s="9"/>
    </row>
    <row r="826" ht="15.75" customHeight="1" spans="1:2">
      <c r="A826" s="9"/>
      <c r="B826" s="9"/>
    </row>
    <row r="827" ht="15.75" customHeight="1" spans="1:2">
      <c r="A827" s="9"/>
      <c r="B827" s="9"/>
    </row>
    <row r="828" ht="15.75" customHeight="1" spans="1:2">
      <c r="A828" s="9"/>
      <c r="B828" s="9"/>
    </row>
    <row r="829" ht="15.75" customHeight="1" spans="1:2">
      <c r="A829" s="9"/>
      <c r="B829" s="9"/>
    </row>
    <row r="830" ht="15.75" customHeight="1" spans="1:2">
      <c r="A830" s="9"/>
      <c r="B830" s="9"/>
    </row>
    <row r="831" ht="15.75" customHeight="1" spans="1:2">
      <c r="A831" s="9"/>
      <c r="B831" s="9"/>
    </row>
    <row r="832" ht="15.75" customHeight="1" spans="1:2">
      <c r="A832" s="9"/>
      <c r="B832" s="9"/>
    </row>
    <row r="833" ht="15.75" customHeight="1" spans="1:2">
      <c r="A833" s="9"/>
      <c r="B833" s="9"/>
    </row>
    <row r="834" ht="15.75" customHeight="1" spans="1:2">
      <c r="A834" s="9"/>
      <c r="B834" s="9"/>
    </row>
    <row r="835" ht="15.75" customHeight="1" spans="1:2">
      <c r="A835" s="9"/>
      <c r="B835" s="9"/>
    </row>
    <row r="836" ht="15.75" customHeight="1" spans="1:2">
      <c r="A836" s="9"/>
      <c r="B836" s="9"/>
    </row>
    <row r="837" ht="15.75" customHeight="1" spans="1:2">
      <c r="A837" s="9"/>
      <c r="B837" s="9"/>
    </row>
    <row r="838" ht="15.75" customHeight="1" spans="1:2">
      <c r="A838" s="9"/>
      <c r="B838" s="9"/>
    </row>
    <row r="839" ht="15.75" customHeight="1" spans="1:2">
      <c r="A839" s="9"/>
      <c r="B839" s="9"/>
    </row>
    <row r="840" ht="15.75" customHeight="1" spans="1:2">
      <c r="A840" s="9"/>
      <c r="B840" s="9"/>
    </row>
    <row r="841" ht="15.75" customHeight="1" spans="1:2">
      <c r="A841" s="9"/>
      <c r="B841" s="9"/>
    </row>
    <row r="842" ht="15.75" customHeight="1" spans="1:2">
      <c r="A842" s="9"/>
      <c r="B842" s="9"/>
    </row>
    <row r="843" ht="15.75" customHeight="1" spans="1:2">
      <c r="A843" s="9"/>
      <c r="B843" s="9"/>
    </row>
    <row r="844" ht="15.75" customHeight="1" spans="1:2">
      <c r="A844" s="9"/>
      <c r="B844" s="9"/>
    </row>
    <row r="845" ht="15.75" customHeight="1" spans="1:2">
      <c r="A845" s="9"/>
      <c r="B845" s="9"/>
    </row>
    <row r="846" ht="15.75" customHeight="1" spans="1:2">
      <c r="A846" s="9"/>
      <c r="B846" s="9"/>
    </row>
    <row r="847" ht="15.75" customHeight="1" spans="1:2">
      <c r="A847" s="9"/>
      <c r="B847" s="9"/>
    </row>
    <row r="848" ht="15.75" customHeight="1" spans="1:2">
      <c r="A848" s="9"/>
      <c r="B848" s="9"/>
    </row>
    <row r="849" ht="15.75" customHeight="1" spans="1:2">
      <c r="A849" s="9"/>
      <c r="B849" s="9"/>
    </row>
    <row r="850" ht="15.75" customHeight="1" spans="1:2">
      <c r="A850" s="9"/>
      <c r="B850" s="9"/>
    </row>
    <row r="851" ht="15.75" customHeight="1" spans="1:2">
      <c r="A851" s="9"/>
      <c r="B851" s="9"/>
    </row>
    <row r="852" ht="15.75" customHeight="1" spans="1:2">
      <c r="A852" s="9"/>
      <c r="B852" s="9"/>
    </row>
    <row r="853" ht="15.75" customHeight="1" spans="1:2">
      <c r="A853" s="9"/>
      <c r="B853" s="9"/>
    </row>
    <row r="854" ht="15.75" customHeight="1" spans="1:2">
      <c r="A854" s="9"/>
      <c r="B854" s="9"/>
    </row>
    <row r="855" ht="15.75" customHeight="1" spans="1:2">
      <c r="A855" s="9"/>
      <c r="B855" s="9"/>
    </row>
    <row r="856" ht="15.75" customHeight="1" spans="1:2">
      <c r="A856" s="9"/>
      <c r="B856" s="9"/>
    </row>
    <row r="857" ht="15.75" customHeight="1" spans="1:2">
      <c r="A857" s="9"/>
      <c r="B857" s="9"/>
    </row>
    <row r="858" ht="15.75" customHeight="1" spans="1:2">
      <c r="A858" s="9"/>
      <c r="B858" s="9"/>
    </row>
    <row r="859" ht="15.75" customHeight="1" spans="1:2">
      <c r="A859" s="9"/>
      <c r="B859" s="9"/>
    </row>
    <row r="860" ht="15.75" customHeight="1" spans="1:2">
      <c r="A860" s="9"/>
      <c r="B860" s="9"/>
    </row>
    <row r="861" ht="15.75" customHeight="1" spans="1:2">
      <c r="A861" s="9"/>
      <c r="B861" s="9"/>
    </row>
    <row r="862" ht="15.75" customHeight="1" spans="1:2">
      <c r="A862" s="9"/>
      <c r="B862" s="9"/>
    </row>
    <row r="863" ht="15.75" customHeight="1" spans="1:2">
      <c r="A863" s="9"/>
      <c r="B863" s="9"/>
    </row>
    <row r="864" ht="15.75" customHeight="1" spans="1:2">
      <c r="A864" s="9"/>
      <c r="B864" s="9"/>
    </row>
    <row r="865" ht="15.75" customHeight="1" spans="1:2">
      <c r="A865" s="9"/>
      <c r="B865" s="9"/>
    </row>
    <row r="866" ht="15.75" customHeight="1" spans="1:2">
      <c r="A866" s="9"/>
      <c r="B866" s="9"/>
    </row>
    <row r="867" ht="15.75" customHeight="1" spans="1:2">
      <c r="A867" s="9"/>
      <c r="B867" s="9"/>
    </row>
    <row r="868" ht="15.75" customHeight="1" spans="1:2">
      <c r="A868" s="9"/>
      <c r="B868" s="9"/>
    </row>
    <row r="869" ht="15.75" customHeight="1" spans="1:2">
      <c r="A869" s="9"/>
      <c r="B869" s="9"/>
    </row>
    <row r="870" ht="15.75" customHeight="1" spans="1:2">
      <c r="A870" s="9"/>
      <c r="B870" s="9"/>
    </row>
    <row r="871" ht="15.75" customHeight="1" spans="1:2">
      <c r="A871" s="9"/>
      <c r="B871" s="9"/>
    </row>
    <row r="872" ht="15.75" customHeight="1" spans="1:2">
      <c r="A872" s="9"/>
      <c r="B872" s="9"/>
    </row>
    <row r="873" ht="15.75" customHeight="1" spans="1:2">
      <c r="A873" s="9"/>
      <c r="B873" s="9"/>
    </row>
    <row r="874" ht="15.75" customHeight="1" spans="1:2">
      <c r="A874" s="9"/>
      <c r="B874" s="9"/>
    </row>
    <row r="875" ht="15.75" customHeight="1" spans="1:2">
      <c r="A875" s="9"/>
      <c r="B875" s="9"/>
    </row>
    <row r="876" ht="15.75" customHeight="1" spans="1:2">
      <c r="A876" s="9"/>
      <c r="B876" s="9"/>
    </row>
    <row r="877" ht="15.75" customHeight="1" spans="1:2">
      <c r="A877" s="9"/>
      <c r="B877" s="9"/>
    </row>
    <row r="878" ht="15.75" customHeight="1" spans="1:2">
      <c r="A878" s="9"/>
      <c r="B878" s="9"/>
    </row>
    <row r="879" ht="15.75" customHeight="1" spans="1:2">
      <c r="A879" s="9"/>
      <c r="B879" s="9"/>
    </row>
    <row r="880" ht="15.75" customHeight="1" spans="1:2">
      <c r="A880" s="9"/>
      <c r="B880" s="9"/>
    </row>
    <row r="881" ht="15.75" customHeight="1" spans="1:2">
      <c r="A881" s="9"/>
      <c r="B881" s="9"/>
    </row>
    <row r="882" ht="15.75" customHeight="1" spans="1:2">
      <c r="A882" s="9"/>
      <c r="B882" s="9"/>
    </row>
    <row r="883" ht="15.75" customHeight="1" spans="1:2">
      <c r="A883" s="9"/>
      <c r="B883" s="9"/>
    </row>
    <row r="884" ht="15.75" customHeight="1" spans="1:2">
      <c r="A884" s="9"/>
      <c r="B884" s="9"/>
    </row>
    <row r="885" ht="15.75" customHeight="1" spans="1:2">
      <c r="A885" s="9"/>
      <c r="B885" s="9"/>
    </row>
    <row r="886" ht="15.75" customHeight="1" spans="1:2">
      <c r="A886" s="9"/>
      <c r="B886" s="9"/>
    </row>
    <row r="887" ht="15.75" customHeight="1" spans="1:2">
      <c r="A887" s="9"/>
      <c r="B887" s="9"/>
    </row>
    <row r="888" ht="15.75" customHeight="1" spans="1:2">
      <c r="A888" s="9"/>
      <c r="B888" s="9"/>
    </row>
    <row r="889" ht="15.75" customHeight="1" spans="1:2">
      <c r="A889" s="9"/>
      <c r="B889" s="9"/>
    </row>
    <row r="890" ht="15.75" customHeight="1" spans="1:2">
      <c r="A890" s="9"/>
      <c r="B890" s="9"/>
    </row>
    <row r="891" ht="15.75" customHeight="1" spans="1:2">
      <c r="A891" s="9"/>
      <c r="B891" s="9"/>
    </row>
    <row r="892" ht="15.75" customHeight="1" spans="1:2">
      <c r="A892" s="9"/>
      <c r="B892" s="9"/>
    </row>
    <row r="893" ht="15.75" customHeight="1" spans="1:2">
      <c r="A893" s="9"/>
      <c r="B893" s="9"/>
    </row>
    <row r="894" ht="15.75" customHeight="1" spans="1:2">
      <c r="A894" s="9"/>
      <c r="B894" s="9"/>
    </row>
    <row r="895" ht="15.75" customHeight="1" spans="1:2">
      <c r="A895" s="9"/>
      <c r="B895" s="9"/>
    </row>
    <row r="896" ht="15.75" customHeight="1" spans="1:2">
      <c r="A896" s="9"/>
      <c r="B896" s="9"/>
    </row>
    <row r="897" ht="15.75" customHeight="1" spans="1:2">
      <c r="A897" s="9"/>
      <c r="B897" s="9"/>
    </row>
    <row r="898" ht="15.75" customHeight="1" spans="1:2">
      <c r="A898" s="9"/>
      <c r="B898" s="9"/>
    </row>
    <row r="899" ht="15.75" customHeight="1" spans="1:2">
      <c r="A899" s="9"/>
      <c r="B899" s="9"/>
    </row>
    <row r="900" ht="15.75" customHeight="1" spans="1:2">
      <c r="A900" s="9"/>
      <c r="B900" s="9"/>
    </row>
    <row r="901" ht="15.75" customHeight="1" spans="1:2">
      <c r="A901" s="9"/>
      <c r="B901" s="9"/>
    </row>
    <row r="902" ht="15.75" customHeight="1" spans="1:2">
      <c r="A902" s="9"/>
      <c r="B902" s="9"/>
    </row>
    <row r="903" ht="15.75" customHeight="1" spans="1:2">
      <c r="A903" s="9"/>
      <c r="B903" s="9"/>
    </row>
    <row r="904" ht="15.75" customHeight="1" spans="1:2">
      <c r="A904" s="9"/>
      <c r="B904" s="9"/>
    </row>
    <row r="905" ht="15.75" customHeight="1" spans="1:2">
      <c r="A905" s="9"/>
      <c r="B905" s="9"/>
    </row>
    <row r="906" ht="15.75" customHeight="1" spans="1:2">
      <c r="A906" s="9"/>
      <c r="B906" s="9"/>
    </row>
    <row r="907" ht="15.75" customHeight="1" spans="1:2">
      <c r="A907" s="9"/>
      <c r="B907" s="9"/>
    </row>
    <row r="908" ht="15.75" customHeight="1" spans="1:2">
      <c r="A908" s="9"/>
      <c r="B908" s="9"/>
    </row>
    <row r="909" ht="15.75" customHeight="1" spans="1:2">
      <c r="A909" s="9"/>
      <c r="B909" s="9"/>
    </row>
    <row r="910" ht="15.75" customHeight="1" spans="1:2">
      <c r="A910" s="9"/>
      <c r="B910" s="9"/>
    </row>
    <row r="911" ht="15.75" customHeight="1" spans="1:2">
      <c r="A911" s="9"/>
      <c r="B911" s="9"/>
    </row>
    <row r="912" ht="15.75" customHeight="1" spans="1:2">
      <c r="A912" s="9"/>
      <c r="B912" s="9"/>
    </row>
    <row r="913" ht="15.75" customHeight="1" spans="1:2">
      <c r="A913" s="9"/>
      <c r="B913" s="9"/>
    </row>
    <row r="914" ht="15.75" customHeight="1" spans="1:2">
      <c r="A914" s="9"/>
      <c r="B914" s="9"/>
    </row>
    <row r="915" ht="15.75" customHeight="1" spans="1:2">
      <c r="A915" s="9"/>
      <c r="B915" s="9"/>
    </row>
    <row r="916" ht="15.75" customHeight="1" spans="1:2">
      <c r="A916" s="9"/>
      <c r="B916" s="9"/>
    </row>
    <row r="917" ht="15.75" customHeight="1" spans="1:2">
      <c r="A917" s="9"/>
      <c r="B917" s="9"/>
    </row>
    <row r="918" ht="15.75" customHeight="1" spans="1:2">
      <c r="A918" s="9"/>
      <c r="B918" s="9"/>
    </row>
    <row r="919" ht="15.75" customHeight="1" spans="1:2">
      <c r="A919" s="9"/>
      <c r="B919" s="9"/>
    </row>
    <row r="920" ht="15.75" customHeight="1" spans="1:2">
      <c r="A920" s="9"/>
      <c r="B920" s="9"/>
    </row>
    <row r="921" ht="15.75" customHeight="1" spans="1:2">
      <c r="A921" s="9"/>
      <c r="B921" s="9"/>
    </row>
    <row r="922" ht="15.75" customHeight="1" spans="1:2">
      <c r="A922" s="9"/>
      <c r="B922" s="9"/>
    </row>
    <row r="923" ht="15.75" customHeight="1" spans="1:2">
      <c r="A923" s="9"/>
      <c r="B923" s="9"/>
    </row>
    <row r="924" ht="15.75" customHeight="1" spans="1:2">
      <c r="A924" s="9"/>
      <c r="B924" s="9"/>
    </row>
    <row r="925" ht="15.75" customHeight="1" spans="1:2">
      <c r="A925" s="9"/>
      <c r="B925" s="9"/>
    </row>
    <row r="926" ht="15.75" customHeight="1" spans="1:2">
      <c r="A926" s="9"/>
      <c r="B926" s="9"/>
    </row>
    <row r="927" ht="15.75" customHeight="1" spans="1:2">
      <c r="A927" s="9"/>
      <c r="B927" s="9"/>
    </row>
    <row r="928" ht="15.75" customHeight="1" spans="1:2">
      <c r="A928" s="9"/>
      <c r="B928" s="9"/>
    </row>
    <row r="929" ht="15.75" customHeight="1" spans="1:2">
      <c r="A929" s="9"/>
      <c r="B929" s="9"/>
    </row>
    <row r="930" ht="15.75" customHeight="1" spans="1:2">
      <c r="A930" s="9"/>
      <c r="B930" s="9"/>
    </row>
    <row r="931" ht="15.75" customHeight="1" spans="1:2">
      <c r="A931" s="9"/>
      <c r="B931" s="9"/>
    </row>
    <row r="932" ht="15.75" customHeight="1" spans="1:2">
      <c r="A932" s="9"/>
      <c r="B932" s="9"/>
    </row>
    <row r="933" ht="15.75" customHeight="1" spans="1:2">
      <c r="A933" s="9"/>
      <c r="B933" s="9"/>
    </row>
    <row r="934" ht="15.75" customHeight="1" spans="1:2">
      <c r="A934" s="9"/>
      <c r="B934" s="9"/>
    </row>
    <row r="935" ht="15.75" customHeight="1" spans="1:2">
      <c r="A935" s="9"/>
      <c r="B935" s="9"/>
    </row>
    <row r="936" ht="15.75" customHeight="1" spans="1:2">
      <c r="A936" s="9"/>
      <c r="B936" s="9"/>
    </row>
    <row r="937" ht="15.75" customHeight="1" spans="1:2">
      <c r="A937" s="9"/>
      <c r="B937" s="9"/>
    </row>
    <row r="938" ht="15.75" customHeight="1" spans="1:2">
      <c r="A938" s="9"/>
      <c r="B938" s="9"/>
    </row>
    <row r="939" ht="15.75" customHeight="1" spans="1:2">
      <c r="A939" s="9"/>
      <c r="B939" s="9"/>
    </row>
    <row r="940" ht="15.75" customHeight="1" spans="1:2">
      <c r="A940" s="9"/>
      <c r="B940" s="9"/>
    </row>
    <row r="941" ht="15.75" customHeight="1" spans="1:2">
      <c r="A941" s="9"/>
      <c r="B941" s="9"/>
    </row>
    <row r="942" ht="15.75" customHeight="1" spans="1:2">
      <c r="A942" s="9"/>
      <c r="B942" s="9"/>
    </row>
    <row r="943" ht="15.75" customHeight="1" spans="1:2">
      <c r="A943" s="9"/>
      <c r="B943" s="9"/>
    </row>
    <row r="944" ht="15.75" customHeight="1" spans="1:2">
      <c r="A944" s="9"/>
      <c r="B944" s="9"/>
    </row>
    <row r="945" ht="15.75" customHeight="1" spans="1:2">
      <c r="A945" s="9"/>
      <c r="B945" s="9"/>
    </row>
    <row r="946" ht="15.75" customHeight="1" spans="1:2">
      <c r="A946" s="9"/>
      <c r="B946" s="9"/>
    </row>
    <row r="947" ht="15.75" customHeight="1" spans="1:2">
      <c r="A947" s="9"/>
      <c r="B947" s="9"/>
    </row>
    <row r="948" ht="15.75" customHeight="1" spans="1:2">
      <c r="A948" s="9"/>
      <c r="B948" s="9"/>
    </row>
    <row r="949" ht="15.75" customHeight="1" spans="1:2">
      <c r="A949" s="9"/>
      <c r="B949" s="9"/>
    </row>
    <row r="950" ht="15.75" customHeight="1" spans="1:2">
      <c r="A950" s="9"/>
      <c r="B950" s="9"/>
    </row>
    <row r="951" ht="15.75" customHeight="1" spans="1:2">
      <c r="A951" s="9"/>
      <c r="B951" s="9"/>
    </row>
    <row r="952" ht="15.75" customHeight="1" spans="1:2">
      <c r="A952" s="9"/>
      <c r="B952" s="9"/>
    </row>
    <row r="953" ht="15.75" customHeight="1" spans="1:2">
      <c r="A953" s="9"/>
      <c r="B953" s="9"/>
    </row>
    <row r="954" ht="15.75" customHeight="1" spans="1:2">
      <c r="A954" s="9"/>
      <c r="B954" s="9"/>
    </row>
    <row r="955" ht="15.75" customHeight="1" spans="1:2">
      <c r="A955" s="9"/>
      <c r="B955" s="9"/>
    </row>
    <row r="956" ht="15.75" customHeight="1" spans="1:2">
      <c r="A956" s="9"/>
      <c r="B956" s="9"/>
    </row>
    <row r="957" ht="15.75" customHeight="1" spans="1:2">
      <c r="A957" s="9"/>
      <c r="B957" s="9"/>
    </row>
    <row r="958" ht="15.75" customHeight="1" spans="1:2">
      <c r="A958" s="9"/>
      <c r="B958" s="9"/>
    </row>
    <row r="959" ht="15.75" customHeight="1" spans="1:2">
      <c r="A959" s="9"/>
      <c r="B959" s="9"/>
    </row>
    <row r="960" ht="15.75" customHeight="1" spans="1:2">
      <c r="A960" s="9"/>
      <c r="B960" s="9"/>
    </row>
    <row r="961" ht="15.75" customHeight="1" spans="1:2">
      <c r="A961" s="9"/>
      <c r="B961" s="9"/>
    </row>
    <row r="962" ht="15.75" customHeight="1" spans="1:2">
      <c r="A962" s="9"/>
      <c r="B962" s="9"/>
    </row>
    <row r="963" ht="15.75" customHeight="1" spans="1:2">
      <c r="A963" s="9"/>
      <c r="B963" s="9"/>
    </row>
    <row r="964" ht="15.75" customHeight="1" spans="1:2">
      <c r="A964" s="9"/>
      <c r="B964" s="9"/>
    </row>
    <row r="965" ht="15.75" customHeight="1" spans="1:2">
      <c r="A965" s="9"/>
      <c r="B965" s="9"/>
    </row>
    <row r="966" ht="15.75" customHeight="1" spans="1:2">
      <c r="A966" s="9"/>
      <c r="B966" s="9"/>
    </row>
    <row r="967" ht="15.75" customHeight="1" spans="1:2">
      <c r="A967" s="9"/>
      <c r="B967" s="9"/>
    </row>
    <row r="968" ht="15.75" customHeight="1" spans="1:2">
      <c r="A968" s="9"/>
      <c r="B968" s="9"/>
    </row>
    <row r="969" ht="15.75" customHeight="1" spans="1:2">
      <c r="A969" s="9"/>
      <c r="B969" s="9"/>
    </row>
    <row r="970" ht="15.75" customHeight="1" spans="1:2">
      <c r="A970" s="9"/>
      <c r="B970" s="9"/>
    </row>
    <row r="971" ht="15.75" customHeight="1" spans="1:2">
      <c r="A971" s="9"/>
      <c r="B971" s="9"/>
    </row>
    <row r="972" ht="15.75" customHeight="1" spans="1:2">
      <c r="A972" s="9"/>
      <c r="B972" s="9"/>
    </row>
    <row r="973" ht="15.75" customHeight="1" spans="1:2">
      <c r="A973" s="9"/>
      <c r="B973" s="9"/>
    </row>
    <row r="974" ht="15.75" customHeight="1" spans="1:2">
      <c r="A974" s="9"/>
      <c r="B974" s="9"/>
    </row>
    <row r="975" ht="15.75" customHeight="1" spans="1:2">
      <c r="A975" s="9"/>
      <c r="B975" s="9"/>
    </row>
    <row r="976" ht="15.75" customHeight="1" spans="1:2">
      <c r="A976" s="9"/>
      <c r="B976" s="9"/>
    </row>
    <row r="977" ht="15.75" customHeight="1" spans="1:2">
      <c r="A977" s="9"/>
      <c r="B977" s="9"/>
    </row>
    <row r="978" ht="15.75" customHeight="1" spans="1:2">
      <c r="A978" s="9"/>
      <c r="B978" s="9"/>
    </row>
    <row r="979" ht="15.75" customHeight="1" spans="1:2">
      <c r="A979" s="9"/>
      <c r="B979" s="9"/>
    </row>
    <row r="980" ht="15.75" customHeight="1" spans="1:2">
      <c r="A980" s="9"/>
      <c r="B980" s="9"/>
    </row>
    <row r="981" ht="15.75" customHeight="1" spans="1:2">
      <c r="A981" s="9"/>
      <c r="B981" s="9"/>
    </row>
    <row r="982" ht="15.75" customHeight="1" spans="1:2">
      <c r="A982" s="9"/>
      <c r="B982" s="9"/>
    </row>
    <row r="983" ht="15.75" customHeight="1" spans="1:2">
      <c r="A983" s="9"/>
      <c r="B983" s="9"/>
    </row>
    <row r="984" ht="15.75" customHeight="1" spans="1:2">
      <c r="A984" s="9"/>
      <c r="B984" s="9"/>
    </row>
    <row r="985" ht="15.75" customHeight="1" spans="1:2">
      <c r="A985" s="9"/>
      <c r="B985" s="9"/>
    </row>
    <row r="986" ht="15.75" customHeight="1" spans="1:2">
      <c r="A986" s="9"/>
      <c r="B986" s="9"/>
    </row>
    <row r="987" ht="15.75" customHeight="1" spans="1:2">
      <c r="A987" s="9"/>
      <c r="B987" s="9"/>
    </row>
    <row r="988" ht="15.75" customHeight="1" spans="1:2">
      <c r="A988" s="9"/>
      <c r="B988" s="9"/>
    </row>
    <row r="989" ht="15.75" customHeight="1" spans="1:2">
      <c r="A989" s="9"/>
      <c r="B989" s="9"/>
    </row>
    <row r="990" ht="15.75" customHeight="1" spans="1:2">
      <c r="A990" s="9"/>
      <c r="B990" s="9"/>
    </row>
    <row r="991" ht="15.75" customHeight="1" spans="1:2">
      <c r="A991" s="9"/>
      <c r="B991" s="9"/>
    </row>
    <row r="992" ht="15.75" customHeight="1" spans="1:2">
      <c r="A992" s="9"/>
      <c r="B992" s="9"/>
    </row>
    <row r="993" ht="15.75" customHeight="1" spans="1:2">
      <c r="A993" s="9"/>
      <c r="B993" s="9"/>
    </row>
    <row r="994" ht="15.75" customHeight="1" spans="1:2">
      <c r="A994" s="9"/>
      <c r="B994" s="9"/>
    </row>
    <row r="995" ht="15.75" customHeight="1" spans="1:2">
      <c r="A995" s="9"/>
      <c r="B995" s="9"/>
    </row>
    <row r="996" ht="15.75" customHeight="1" spans="1:2">
      <c r="A996" s="9"/>
      <c r="B996" s="9"/>
    </row>
    <row r="997" ht="15.75" customHeight="1" spans="1:2">
      <c r="A997" s="9"/>
      <c r="B997" s="9"/>
    </row>
    <row r="998" ht="15.75" customHeight="1" spans="1:2">
      <c r="A998" s="9"/>
      <c r="B998" s="9"/>
    </row>
    <row r="999" ht="15.75" customHeight="1" spans="1:2">
      <c r="A999" s="9"/>
      <c r="B999" s="9"/>
    </row>
    <row r="1000" ht="15.75" customHeight="1" spans="1:2">
      <c r="A1000" s="9"/>
      <c r="B1000" s="9"/>
    </row>
  </sheetData>
  <pageMargins left="0.75" right="0.75" top="1" bottom="1" header="0" footer="0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selection activeCell="A1" sqref="A1"/>
    </sheetView>
  </sheetViews>
  <sheetFormatPr defaultColWidth="14.4296875" defaultRowHeight="15" customHeight="1"/>
  <cols>
    <col min="1" max="1" width="140" customWidth="1"/>
    <col min="2" max="26" width="8.7109375" customWidth="1"/>
  </cols>
  <sheetData>
    <row r="1" ht="17.25" customHeight="1" spans="1:10">
      <c r="A1" s="19" t="s">
        <v>191</v>
      </c>
      <c r="B1" s="17"/>
      <c r="C1" s="17"/>
      <c r="D1" s="17"/>
      <c r="E1" s="17"/>
      <c r="F1" s="17"/>
      <c r="G1" s="17"/>
      <c r="H1" s="17"/>
      <c r="I1" s="17"/>
      <c r="J1" s="17"/>
    </row>
    <row r="2" customHeight="1" spans="1:10">
      <c r="A2" s="11"/>
      <c r="B2" s="17"/>
      <c r="C2" s="17"/>
      <c r="D2" s="17"/>
      <c r="E2" s="17"/>
      <c r="F2" s="17"/>
      <c r="G2" s="17"/>
      <c r="H2" s="17"/>
      <c r="I2" s="17"/>
      <c r="J2" s="17"/>
    </row>
    <row r="3" customHeight="1" spans="1:10">
      <c r="A3" s="19" t="s">
        <v>192</v>
      </c>
      <c r="B3" s="17"/>
      <c r="C3" s="17"/>
      <c r="D3" s="17"/>
      <c r="E3" s="17"/>
      <c r="F3" s="17"/>
      <c r="G3" s="17"/>
      <c r="H3" s="17"/>
      <c r="I3" s="17"/>
      <c r="J3" s="17"/>
    </row>
    <row r="4" customHeight="1" spans="1:10">
      <c r="A4" s="11" t="s">
        <v>193</v>
      </c>
      <c r="B4" s="17"/>
      <c r="C4" s="17"/>
      <c r="D4" s="17"/>
      <c r="E4" s="17"/>
      <c r="F4" s="17"/>
      <c r="G4" s="17"/>
      <c r="H4" s="17"/>
      <c r="I4" s="17"/>
      <c r="J4" s="17"/>
    </row>
    <row r="5" customHeight="1" spans="1:10">
      <c r="A5" s="11" t="s">
        <v>194</v>
      </c>
      <c r="B5" s="17"/>
      <c r="C5" s="17"/>
      <c r="D5" s="17"/>
      <c r="E5" s="17"/>
      <c r="F5" s="17"/>
      <c r="G5" s="17"/>
      <c r="H5" s="17"/>
      <c r="I5" s="17"/>
      <c r="J5" s="17"/>
    </row>
    <row r="6" customHeight="1" spans="1:10">
      <c r="A6" s="11" t="s">
        <v>195</v>
      </c>
      <c r="B6" s="17"/>
      <c r="C6" s="17"/>
      <c r="D6" s="17"/>
      <c r="E6" s="17"/>
      <c r="F6" s="17"/>
      <c r="G6" s="17"/>
      <c r="H6" s="17"/>
      <c r="I6" s="17"/>
      <c r="J6" s="17"/>
    </row>
    <row r="7" customHeight="1" spans="1:10">
      <c r="A7" s="11" t="s">
        <v>196</v>
      </c>
      <c r="B7" s="17"/>
      <c r="C7" s="17"/>
      <c r="D7" s="17"/>
      <c r="E7" s="17"/>
      <c r="F7" s="17"/>
      <c r="G7" s="17"/>
      <c r="H7" s="17"/>
      <c r="I7" s="17"/>
      <c r="J7" s="17"/>
    </row>
    <row r="8" customHeight="1" spans="1:10">
      <c r="A8" s="11"/>
      <c r="B8" s="17"/>
      <c r="C8" s="17"/>
      <c r="D8" s="17"/>
      <c r="E8" s="17"/>
      <c r="F8" s="17"/>
      <c r="G8" s="17"/>
      <c r="H8" s="17"/>
      <c r="I8" s="17"/>
      <c r="J8" s="17"/>
    </row>
    <row r="9" customHeight="1" spans="1:10">
      <c r="A9" s="19" t="s">
        <v>197</v>
      </c>
      <c r="B9" s="17"/>
      <c r="C9" s="17"/>
      <c r="D9" s="17"/>
      <c r="E9" s="17"/>
      <c r="F9" s="17"/>
      <c r="G9" s="17"/>
      <c r="H9" s="17"/>
      <c r="I9" s="17"/>
      <c r="J9" s="17"/>
    </row>
    <row r="10" customHeight="1" spans="1:10">
      <c r="A10" s="11" t="s">
        <v>198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Height="1" spans="1:10">
      <c r="A11" s="11"/>
      <c r="B11" s="17"/>
      <c r="C11" s="17"/>
      <c r="D11" s="17"/>
      <c r="E11" s="17"/>
      <c r="F11" s="17"/>
      <c r="G11" s="17"/>
      <c r="H11" s="17"/>
      <c r="I11" s="17"/>
      <c r="J11" s="17"/>
    </row>
    <row r="12" customHeight="1" spans="1:10">
      <c r="A12" s="11" t="s">
        <v>199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Height="1" spans="1:10">
      <c r="A13" s="11" t="s">
        <v>200</v>
      </c>
      <c r="B13" s="17"/>
      <c r="C13" s="17"/>
      <c r="D13" s="17"/>
      <c r="E13" s="17"/>
      <c r="F13" s="17"/>
      <c r="G13" s="17"/>
      <c r="H13" s="17"/>
      <c r="I13" s="17"/>
      <c r="J13" s="17"/>
    </row>
    <row r="14" customHeight="1" spans="1:10">
      <c r="A14" s="11"/>
      <c r="B14" s="17"/>
      <c r="C14" s="17"/>
      <c r="D14" s="17"/>
      <c r="E14" s="17"/>
      <c r="F14" s="17"/>
      <c r="G14" s="17"/>
      <c r="H14" s="17"/>
      <c r="I14" s="17"/>
      <c r="J14" s="17"/>
    </row>
    <row r="15" customHeight="1" spans="1:10">
      <c r="A15" s="11" t="s">
        <v>201</v>
      </c>
      <c r="B15" s="17"/>
      <c r="C15" s="17"/>
      <c r="D15" s="17"/>
      <c r="E15" s="17"/>
      <c r="F15" s="17"/>
      <c r="G15" s="17"/>
      <c r="H15" s="17"/>
      <c r="I15" s="17"/>
      <c r="J15" s="17"/>
    </row>
    <row r="16" customHeight="1" spans="1:10">
      <c r="A16" s="11"/>
      <c r="B16" s="17"/>
      <c r="C16" s="17"/>
      <c r="D16" s="17"/>
      <c r="E16" s="17"/>
      <c r="F16" s="17"/>
      <c r="G16" s="17"/>
      <c r="H16" s="17"/>
      <c r="I16" s="17"/>
      <c r="J16" s="17"/>
    </row>
    <row r="17" customHeight="1" spans="1:10">
      <c r="A17" s="11" t="s">
        <v>202</v>
      </c>
      <c r="B17" s="17"/>
      <c r="C17" s="17"/>
      <c r="D17" s="17"/>
      <c r="E17" s="17"/>
      <c r="F17" s="17"/>
      <c r="G17" s="17"/>
      <c r="H17" s="17"/>
      <c r="I17" s="17"/>
      <c r="J17" s="17"/>
    </row>
    <row r="18" customHeight="1" spans="1:10">
      <c r="A18" s="11" t="s">
        <v>203</v>
      </c>
      <c r="B18" s="17"/>
      <c r="C18" s="17"/>
      <c r="D18" s="17"/>
      <c r="E18" s="17"/>
      <c r="F18" s="17"/>
      <c r="G18" s="17"/>
      <c r="H18" s="17"/>
      <c r="I18" s="17"/>
      <c r="J18" s="17"/>
    </row>
    <row r="19" ht="14" spans="1:10">
      <c r="A19" s="6"/>
      <c r="B19" s="17"/>
      <c r="C19" s="17"/>
      <c r="D19" s="17"/>
      <c r="E19" s="17"/>
      <c r="F19" s="17"/>
      <c r="G19" s="17"/>
      <c r="H19" s="17"/>
      <c r="I19" s="17"/>
      <c r="J19" s="17"/>
    </row>
    <row r="20" customHeight="1" spans="1:10">
      <c r="A20" s="11" t="s">
        <v>204</v>
      </c>
      <c r="B20" s="17"/>
      <c r="C20" s="17"/>
      <c r="D20" s="17"/>
      <c r="E20" s="17"/>
      <c r="F20" s="17"/>
      <c r="G20" s="17"/>
      <c r="H20" s="17"/>
      <c r="I20" s="17"/>
      <c r="J20" s="17"/>
    </row>
    <row r="21" ht="15.75" customHeight="1" spans="1:10">
      <c r="A21" s="6"/>
      <c r="B21" s="17"/>
      <c r="C21" s="17"/>
      <c r="D21" s="17"/>
      <c r="E21" s="17"/>
      <c r="F21" s="17"/>
      <c r="G21" s="17"/>
      <c r="H21" s="17"/>
      <c r="I21" s="17"/>
      <c r="J21" s="17"/>
    </row>
    <row r="22" customHeight="1" spans="1:10">
      <c r="A22" s="11" t="s">
        <v>205</v>
      </c>
      <c r="B22" s="17"/>
      <c r="C22" s="17"/>
      <c r="D22" s="17"/>
      <c r="E22" s="17"/>
      <c r="F22" s="17"/>
      <c r="G22" s="17"/>
      <c r="H22" s="17"/>
      <c r="I22" s="17"/>
      <c r="J22" s="17"/>
    </row>
    <row r="23" ht="15.75" customHeight="1" spans="1:10">
      <c r="A23" s="6"/>
      <c r="B23" s="17"/>
      <c r="C23" s="17"/>
      <c r="D23" s="17"/>
      <c r="E23" s="17"/>
      <c r="F23" s="17"/>
      <c r="G23" s="17"/>
      <c r="H23" s="17"/>
      <c r="I23" s="17"/>
      <c r="J23" s="17"/>
    </row>
    <row r="24" customHeight="1" spans="1:10">
      <c r="A24" s="11" t="s">
        <v>206</v>
      </c>
      <c r="B24" s="17"/>
      <c r="C24" s="17"/>
      <c r="D24" s="17"/>
      <c r="E24" s="17"/>
      <c r="F24" s="17"/>
      <c r="G24" s="17"/>
      <c r="H24" s="17"/>
      <c r="I24" s="17"/>
      <c r="J24" s="17"/>
    </row>
    <row r="25" ht="15.75" customHeight="1" spans="1:10">
      <c r="A25" s="6"/>
      <c r="B25" s="17"/>
      <c r="C25" s="17"/>
      <c r="D25" s="17"/>
      <c r="E25" s="17"/>
      <c r="F25" s="17"/>
      <c r="G25" s="17"/>
      <c r="H25" s="17"/>
      <c r="I25" s="17"/>
      <c r="J25" s="17"/>
    </row>
    <row r="26" ht="15.75" customHeight="1" spans="1:10">
      <c r="A26" s="11" t="s">
        <v>207</v>
      </c>
      <c r="B26" s="17"/>
      <c r="C26" s="17"/>
      <c r="D26" s="17"/>
      <c r="E26" s="17"/>
      <c r="F26" s="17"/>
      <c r="G26" s="17"/>
      <c r="H26" s="17"/>
      <c r="I26" s="17"/>
      <c r="J26" s="17"/>
    </row>
    <row r="27" ht="15.75" customHeight="1" spans="1:10">
      <c r="A27" s="6"/>
      <c r="B27" s="17"/>
      <c r="C27" s="17"/>
      <c r="D27" s="17"/>
      <c r="E27" s="17"/>
      <c r="F27" s="17"/>
      <c r="G27" s="17"/>
      <c r="H27" s="17"/>
      <c r="I27" s="17"/>
      <c r="J27" s="17"/>
    </row>
    <row r="28" ht="15.75" customHeight="1" spans="1:10">
      <c r="A28" s="6"/>
      <c r="B28" s="17"/>
      <c r="C28" s="17"/>
      <c r="D28" s="17"/>
      <c r="E28" s="17"/>
      <c r="F28" s="17"/>
      <c r="G28" s="17"/>
      <c r="H28" s="17"/>
      <c r="I28" s="17"/>
      <c r="J28" s="17"/>
    </row>
    <row r="29" ht="15.75" customHeight="1" spans="1:10">
      <c r="A29" s="6"/>
      <c r="B29" s="17"/>
      <c r="C29" s="17"/>
      <c r="D29" s="17"/>
      <c r="E29" s="17"/>
      <c r="F29" s="17"/>
      <c r="G29" s="17"/>
      <c r="H29" s="17"/>
      <c r="I29" s="17"/>
      <c r="J29" s="17"/>
    </row>
    <row r="30" ht="15.75" customHeight="1" spans="1:10">
      <c r="A30" s="6"/>
      <c r="B30" s="17"/>
      <c r="C30" s="17"/>
      <c r="D30" s="17"/>
      <c r="E30" s="17"/>
      <c r="F30" s="17"/>
      <c r="G30" s="17"/>
      <c r="H30" s="17"/>
      <c r="I30" s="17"/>
      <c r="J30" s="17"/>
    </row>
    <row r="31" ht="15.75" customHeight="1" spans="1:10">
      <c r="A31" s="6"/>
      <c r="B31" s="17"/>
      <c r="C31" s="17"/>
      <c r="D31" s="17"/>
      <c r="E31" s="17"/>
      <c r="F31" s="17"/>
      <c r="G31" s="17"/>
      <c r="H31" s="17"/>
      <c r="I31" s="17"/>
      <c r="J31" s="17"/>
    </row>
    <row r="32" ht="15.75" customHeight="1" spans="1:10">
      <c r="A32" s="6"/>
      <c r="B32" s="17"/>
      <c r="C32" s="17"/>
      <c r="D32" s="17"/>
      <c r="E32" s="17"/>
      <c r="F32" s="17"/>
      <c r="G32" s="17"/>
      <c r="H32" s="17"/>
      <c r="I32" s="17"/>
      <c r="J32" s="17"/>
    </row>
    <row r="33" ht="15.75" customHeight="1" spans="1:10">
      <c r="A33" s="6"/>
      <c r="B33" s="17"/>
      <c r="C33" s="17"/>
      <c r="D33" s="17"/>
      <c r="E33" s="17"/>
      <c r="F33" s="17"/>
      <c r="G33" s="17"/>
      <c r="H33" s="17"/>
      <c r="I33" s="17"/>
      <c r="J33" s="17"/>
    </row>
    <row r="34" ht="15.75" customHeight="1" spans="1:10">
      <c r="A34" s="6"/>
      <c r="B34" s="17"/>
      <c r="C34" s="17"/>
      <c r="D34" s="17"/>
      <c r="E34" s="17"/>
      <c r="F34" s="17"/>
      <c r="G34" s="17"/>
      <c r="H34" s="17"/>
      <c r="I34" s="17"/>
      <c r="J34" s="17"/>
    </row>
    <row r="35" ht="15.75" customHeight="1" spans="1:10">
      <c r="A35" s="6"/>
      <c r="B35" s="17"/>
      <c r="C35" s="17"/>
      <c r="D35" s="17"/>
      <c r="E35" s="17"/>
      <c r="F35" s="17"/>
      <c r="G35" s="17"/>
      <c r="H35" s="17"/>
      <c r="I35" s="17"/>
      <c r="J35" s="17"/>
    </row>
    <row r="36" ht="15.75" customHeight="1" spans="1:10">
      <c r="A36" s="6"/>
      <c r="B36" s="17"/>
      <c r="C36" s="17"/>
      <c r="D36" s="17"/>
      <c r="E36" s="17"/>
      <c r="F36" s="17"/>
      <c r="G36" s="17"/>
      <c r="H36" s="17"/>
      <c r="I36" s="17"/>
      <c r="J36" s="17"/>
    </row>
    <row r="37" ht="15.75" customHeight="1" spans="1:1">
      <c r="A37" s="9"/>
    </row>
    <row r="38" ht="15.75" customHeight="1" spans="1:1">
      <c r="A38" s="9"/>
    </row>
    <row r="39" ht="15.75" customHeight="1" spans="1:1">
      <c r="A39" s="9"/>
    </row>
    <row r="40" ht="15.75" customHeight="1" spans="1:1">
      <c r="A40" s="9"/>
    </row>
    <row r="41" ht="15.75" customHeight="1" spans="1:1">
      <c r="A41" s="9"/>
    </row>
    <row r="42" ht="15.75" customHeight="1" spans="1:1">
      <c r="A42" s="9"/>
    </row>
    <row r="43" ht="15.75" customHeight="1" spans="1:1">
      <c r="A43" s="9"/>
    </row>
    <row r="44" ht="15.75" customHeight="1" spans="1:1">
      <c r="A44" s="9"/>
    </row>
    <row r="45" ht="15.75" customHeight="1" spans="1:1">
      <c r="A45" s="9"/>
    </row>
    <row r="46" ht="15.75" customHeight="1" spans="1:1">
      <c r="A46" s="9"/>
    </row>
    <row r="47" ht="15.75" customHeight="1" spans="1:1">
      <c r="A47" s="9"/>
    </row>
    <row r="48" ht="15.75" customHeight="1" spans="1:1">
      <c r="A48" s="9"/>
    </row>
    <row r="49" ht="15.75" customHeight="1" spans="1:1">
      <c r="A49" s="9"/>
    </row>
    <row r="50" ht="15.75" customHeight="1" spans="1:1">
      <c r="A50" s="9"/>
    </row>
    <row r="51" ht="15.75" customHeight="1" spans="1:1">
      <c r="A51" s="9"/>
    </row>
    <row r="52" ht="15.75" customHeight="1" spans="1:1">
      <c r="A52" s="9"/>
    </row>
    <row r="53" ht="15.75" customHeight="1" spans="1:1">
      <c r="A53" s="9"/>
    </row>
    <row r="54" ht="15.75" customHeight="1" spans="1:1">
      <c r="A54" s="9"/>
    </row>
    <row r="55" ht="15.75" customHeight="1" spans="1:1">
      <c r="A55" s="9"/>
    </row>
    <row r="56" ht="15.75" customHeight="1" spans="1:1">
      <c r="A56" s="9"/>
    </row>
    <row r="57" ht="15.75" customHeight="1" spans="1:1">
      <c r="A57" s="9"/>
    </row>
    <row r="58" ht="15.75" customHeight="1" spans="1:1">
      <c r="A58" s="9"/>
    </row>
    <row r="59" ht="15.75" customHeight="1" spans="1:1">
      <c r="A59" s="9"/>
    </row>
    <row r="60" ht="15.75" customHeight="1" spans="1:1">
      <c r="A60" s="9"/>
    </row>
    <row r="61" ht="15.75" customHeight="1" spans="1:1">
      <c r="A61" s="9"/>
    </row>
    <row r="62" ht="15.75" customHeight="1" spans="1:1">
      <c r="A62" s="9"/>
    </row>
    <row r="63" ht="15.75" customHeight="1" spans="1:1">
      <c r="A63" s="9"/>
    </row>
    <row r="64" ht="15.75" customHeight="1" spans="1:1">
      <c r="A64" s="9"/>
    </row>
    <row r="65" ht="15.75" customHeight="1" spans="1:1">
      <c r="A65" s="9"/>
    </row>
    <row r="66" ht="15.75" customHeight="1" spans="1:1">
      <c r="A66" s="9"/>
    </row>
    <row r="67" ht="15.75" customHeight="1" spans="1:1">
      <c r="A67" s="9"/>
    </row>
    <row r="68" ht="15.75" customHeight="1" spans="1:1">
      <c r="A68" s="9"/>
    </row>
    <row r="69" ht="15.75" customHeight="1" spans="1:1">
      <c r="A69" s="9"/>
    </row>
    <row r="70" ht="15.75" customHeight="1" spans="1:1">
      <c r="A70" s="9"/>
    </row>
    <row r="71" ht="15.75" customHeight="1" spans="1:1">
      <c r="A71" s="9"/>
    </row>
    <row r="72" ht="15.75" customHeight="1" spans="1:1">
      <c r="A72" s="9"/>
    </row>
    <row r="73" ht="15.75" customHeight="1" spans="1:1">
      <c r="A73" s="9"/>
    </row>
    <row r="74" ht="15.75" customHeight="1" spans="1:1">
      <c r="A74" s="9"/>
    </row>
    <row r="75" ht="15.75" customHeight="1" spans="1:1">
      <c r="A75" s="9"/>
    </row>
    <row r="76" ht="15.75" customHeight="1" spans="1:1">
      <c r="A76" s="9"/>
    </row>
    <row r="77" ht="15.75" customHeight="1" spans="1:1">
      <c r="A77" s="9"/>
    </row>
    <row r="78" ht="15.75" customHeight="1" spans="1:1">
      <c r="A78" s="9"/>
    </row>
    <row r="79" ht="15.75" customHeight="1" spans="1:1">
      <c r="A79" s="9"/>
    </row>
    <row r="80" ht="15.75" customHeight="1" spans="1:1">
      <c r="A80" s="9"/>
    </row>
    <row r="81" ht="15.75" customHeight="1" spans="1:1">
      <c r="A81" s="9"/>
    </row>
    <row r="82" ht="15.75" customHeight="1" spans="1:1">
      <c r="A82" s="9"/>
    </row>
    <row r="83" ht="15.75" customHeight="1" spans="1:1">
      <c r="A83" s="9"/>
    </row>
    <row r="84" ht="15.75" customHeight="1" spans="1:1">
      <c r="A84" s="9"/>
    </row>
    <row r="85" ht="15.75" customHeight="1" spans="1:1">
      <c r="A85" s="9"/>
    </row>
    <row r="86" ht="15.75" customHeight="1" spans="1:1">
      <c r="A86" s="9"/>
    </row>
    <row r="87" ht="15.75" customHeight="1" spans="1:1">
      <c r="A87" s="9"/>
    </row>
    <row r="88" ht="15.75" customHeight="1" spans="1:1">
      <c r="A88" s="9"/>
    </row>
    <row r="89" ht="15.75" customHeight="1" spans="1:1">
      <c r="A89" s="9"/>
    </row>
    <row r="90" ht="15.75" customHeight="1" spans="1:1">
      <c r="A90" s="9"/>
    </row>
    <row r="91" ht="15.75" customHeight="1" spans="1:1">
      <c r="A91" s="9"/>
    </row>
    <row r="92" ht="15.75" customHeight="1" spans="1:1">
      <c r="A92" s="9"/>
    </row>
    <row r="93" ht="15.75" customHeight="1" spans="1:1">
      <c r="A93" s="9"/>
    </row>
    <row r="94" ht="15.75" customHeight="1" spans="1:1">
      <c r="A94" s="9"/>
    </row>
    <row r="95" ht="15.75" customHeight="1" spans="1:1">
      <c r="A95" s="9"/>
    </row>
    <row r="96" ht="15.75" customHeight="1" spans="1:1">
      <c r="A96" s="9"/>
    </row>
    <row r="97" ht="15.75" customHeight="1" spans="1:1">
      <c r="A97" s="9"/>
    </row>
    <row r="98" ht="15.75" customHeight="1" spans="1:1">
      <c r="A98" s="9"/>
    </row>
    <row r="99" ht="15.75" customHeight="1" spans="1:1">
      <c r="A99" s="9"/>
    </row>
    <row r="100" ht="15.75" customHeight="1" spans="1:1">
      <c r="A100" s="9"/>
    </row>
    <row r="101" ht="15.75" customHeight="1" spans="1:1">
      <c r="A101" s="9"/>
    </row>
    <row r="102" ht="15.75" customHeight="1" spans="1:1">
      <c r="A102" s="9"/>
    </row>
    <row r="103" ht="15.75" customHeight="1" spans="1:1">
      <c r="A103" s="9"/>
    </row>
    <row r="104" ht="15.75" customHeight="1" spans="1:1">
      <c r="A104" s="9"/>
    </row>
    <row r="105" ht="15.75" customHeight="1" spans="1:1">
      <c r="A105" s="9"/>
    </row>
    <row r="106" ht="15.75" customHeight="1" spans="1:1">
      <c r="A106" s="9"/>
    </row>
    <row r="107" ht="15.75" customHeight="1" spans="1:1">
      <c r="A107" s="9"/>
    </row>
    <row r="108" ht="15.75" customHeight="1" spans="1:1">
      <c r="A108" s="9"/>
    </row>
    <row r="109" ht="15.75" customHeight="1" spans="1:1">
      <c r="A109" s="9"/>
    </row>
    <row r="110" ht="15.75" customHeight="1" spans="1:1">
      <c r="A110" s="9"/>
    </row>
    <row r="111" ht="15.75" customHeight="1" spans="1:1">
      <c r="A111" s="9"/>
    </row>
    <row r="112" ht="15.75" customHeight="1" spans="1:1">
      <c r="A112" s="9"/>
    </row>
    <row r="113" ht="15.75" customHeight="1" spans="1:1">
      <c r="A113" s="9"/>
    </row>
    <row r="114" ht="15.75" customHeight="1" spans="1:1">
      <c r="A114" s="9"/>
    </row>
    <row r="115" ht="15.75" customHeight="1" spans="1:1">
      <c r="A115" s="9"/>
    </row>
    <row r="116" ht="15.75" customHeight="1" spans="1:1">
      <c r="A116" s="9"/>
    </row>
    <row r="117" ht="15.75" customHeight="1" spans="1:1">
      <c r="A117" s="9"/>
    </row>
    <row r="118" ht="15.75" customHeight="1" spans="1:1">
      <c r="A118" s="9"/>
    </row>
    <row r="119" ht="15.75" customHeight="1" spans="1:1">
      <c r="A119" s="9"/>
    </row>
    <row r="120" ht="15.75" customHeight="1" spans="1:1">
      <c r="A120" s="9"/>
    </row>
    <row r="121" ht="15.75" customHeight="1" spans="1:1">
      <c r="A121" s="9"/>
    </row>
    <row r="122" ht="15.75" customHeight="1" spans="1:1">
      <c r="A122" s="9"/>
    </row>
    <row r="123" ht="15.75" customHeight="1" spans="1:1">
      <c r="A123" s="9"/>
    </row>
    <row r="124" ht="15.75" customHeight="1" spans="1:1">
      <c r="A124" s="9"/>
    </row>
    <row r="125" ht="15.75" customHeight="1" spans="1:1">
      <c r="A125" s="9"/>
    </row>
    <row r="126" ht="15.75" customHeight="1" spans="1:1">
      <c r="A126" s="9"/>
    </row>
    <row r="127" ht="15.75" customHeight="1" spans="1:1">
      <c r="A127" s="9"/>
    </row>
    <row r="128" ht="15.75" customHeight="1" spans="1:1">
      <c r="A128" s="9"/>
    </row>
    <row r="129" ht="15.75" customHeight="1" spans="1:1">
      <c r="A129" s="9"/>
    </row>
    <row r="130" ht="15.75" customHeight="1" spans="1:1">
      <c r="A130" s="9"/>
    </row>
    <row r="131" ht="15.75" customHeight="1" spans="1:1">
      <c r="A131" s="9"/>
    </row>
    <row r="132" ht="15.75" customHeight="1" spans="1:1">
      <c r="A132" s="9"/>
    </row>
    <row r="133" ht="15.75" customHeight="1" spans="1:1">
      <c r="A133" s="9"/>
    </row>
    <row r="134" ht="15.75" customHeight="1" spans="1:1">
      <c r="A134" s="9"/>
    </row>
    <row r="135" ht="15.75" customHeight="1" spans="1:1">
      <c r="A135" s="9"/>
    </row>
    <row r="136" ht="15.75" customHeight="1" spans="1:1">
      <c r="A136" s="9"/>
    </row>
    <row r="137" ht="15.75" customHeight="1" spans="1:1">
      <c r="A137" s="9"/>
    </row>
    <row r="138" ht="15.75" customHeight="1" spans="1:1">
      <c r="A138" s="9"/>
    </row>
    <row r="139" ht="15.75" customHeight="1" spans="1:1">
      <c r="A139" s="9"/>
    </row>
    <row r="140" ht="15.75" customHeight="1" spans="1:1">
      <c r="A140" s="9"/>
    </row>
    <row r="141" ht="15.75" customHeight="1" spans="1:1">
      <c r="A141" s="9"/>
    </row>
    <row r="142" ht="15.75" customHeight="1" spans="1:1">
      <c r="A142" s="9"/>
    </row>
    <row r="143" ht="15.75" customHeight="1" spans="1:1">
      <c r="A143" s="9"/>
    </row>
    <row r="144" ht="15.75" customHeight="1" spans="1:1">
      <c r="A144" s="9"/>
    </row>
    <row r="145" ht="15.75" customHeight="1" spans="1:1">
      <c r="A145" s="9"/>
    </row>
    <row r="146" ht="15.75" customHeight="1" spans="1:1">
      <c r="A146" s="9"/>
    </row>
    <row r="147" ht="15.75" customHeight="1" spans="1:1">
      <c r="A147" s="9"/>
    </row>
    <row r="148" ht="15.75" customHeight="1" spans="1:1">
      <c r="A148" s="9"/>
    </row>
    <row r="149" ht="15.75" customHeight="1" spans="1:1">
      <c r="A149" s="9"/>
    </row>
    <row r="150" ht="15.75" customHeight="1" spans="1:1">
      <c r="A150" s="9"/>
    </row>
    <row r="151" ht="15.75" customHeight="1" spans="1:1">
      <c r="A151" s="9"/>
    </row>
    <row r="152" ht="15.75" customHeight="1" spans="1:1">
      <c r="A152" s="9"/>
    </row>
    <row r="153" ht="15.75" customHeight="1" spans="1:1">
      <c r="A153" s="9"/>
    </row>
    <row r="154" ht="15.75" customHeight="1" spans="1:1">
      <c r="A154" s="9"/>
    </row>
    <row r="155" ht="15.75" customHeight="1" spans="1:1">
      <c r="A155" s="9"/>
    </row>
    <row r="156" ht="15.75" customHeight="1" spans="1:1">
      <c r="A156" s="9"/>
    </row>
    <row r="157" ht="15.75" customHeight="1" spans="1:1">
      <c r="A157" s="9"/>
    </row>
    <row r="158" ht="15.75" customHeight="1" spans="1:1">
      <c r="A158" s="9"/>
    </row>
    <row r="159" ht="15.75" customHeight="1" spans="1:1">
      <c r="A159" s="9"/>
    </row>
    <row r="160" ht="15.75" customHeight="1" spans="1:1">
      <c r="A160" s="9"/>
    </row>
    <row r="161" ht="15.75" customHeight="1" spans="1:1">
      <c r="A161" s="9"/>
    </row>
    <row r="162" ht="15.75" customHeight="1" spans="1:1">
      <c r="A162" s="9"/>
    </row>
    <row r="163" ht="15.75" customHeight="1" spans="1:1">
      <c r="A163" s="9"/>
    </row>
    <row r="164" ht="15.75" customHeight="1" spans="1:1">
      <c r="A164" s="9"/>
    </row>
    <row r="165" ht="15.75" customHeight="1" spans="1:1">
      <c r="A165" s="9"/>
    </row>
    <row r="166" ht="15.75" customHeight="1" spans="1:1">
      <c r="A166" s="9"/>
    </row>
    <row r="167" ht="15.75" customHeight="1" spans="1:1">
      <c r="A167" s="9"/>
    </row>
    <row r="168" ht="15.75" customHeight="1" spans="1:1">
      <c r="A168" s="9"/>
    </row>
    <row r="169" ht="15.75" customHeight="1" spans="1:1">
      <c r="A169" s="9"/>
    </row>
    <row r="170" ht="15.75" customHeight="1" spans="1:1">
      <c r="A170" s="9"/>
    </row>
    <row r="171" ht="15.75" customHeight="1" spans="1:1">
      <c r="A171" s="9"/>
    </row>
    <row r="172" ht="15.75" customHeight="1" spans="1:1">
      <c r="A172" s="9"/>
    </row>
    <row r="173" ht="15.75" customHeight="1" spans="1:1">
      <c r="A173" s="9"/>
    </row>
    <row r="174" ht="15.75" customHeight="1" spans="1:1">
      <c r="A174" s="9"/>
    </row>
    <row r="175" ht="15.75" customHeight="1" spans="1:1">
      <c r="A175" s="9"/>
    </row>
    <row r="176" ht="15.75" customHeight="1" spans="1:1">
      <c r="A176" s="9"/>
    </row>
    <row r="177" ht="15.75" customHeight="1" spans="1:1">
      <c r="A177" s="9"/>
    </row>
    <row r="178" ht="15.75" customHeight="1" spans="1:1">
      <c r="A178" s="9"/>
    </row>
    <row r="179" ht="15.75" customHeight="1" spans="1:1">
      <c r="A179" s="9"/>
    </row>
    <row r="180" ht="15.75" customHeight="1" spans="1:1">
      <c r="A180" s="9"/>
    </row>
    <row r="181" ht="15.75" customHeight="1" spans="1:1">
      <c r="A181" s="9"/>
    </row>
    <row r="182" ht="15.75" customHeight="1" spans="1:1">
      <c r="A182" s="9"/>
    </row>
    <row r="183" ht="15.75" customHeight="1" spans="1:1">
      <c r="A183" s="9"/>
    </row>
    <row r="184" ht="15.75" customHeight="1" spans="1:1">
      <c r="A184" s="9"/>
    </row>
    <row r="185" ht="15.75" customHeight="1" spans="1:1">
      <c r="A185" s="9"/>
    </row>
    <row r="186" ht="15.75" customHeight="1" spans="1:1">
      <c r="A186" s="9"/>
    </row>
    <row r="187" ht="15.75" customHeight="1" spans="1:1">
      <c r="A187" s="9"/>
    </row>
    <row r="188" ht="15.75" customHeight="1" spans="1:1">
      <c r="A188" s="9"/>
    </row>
    <row r="189" ht="15.75" customHeight="1" spans="1:1">
      <c r="A189" s="9"/>
    </row>
    <row r="190" ht="15.75" customHeight="1" spans="1:1">
      <c r="A190" s="9"/>
    </row>
    <row r="191" ht="15.75" customHeight="1" spans="1:1">
      <c r="A191" s="9"/>
    </row>
    <row r="192" ht="15.75" customHeight="1" spans="1:1">
      <c r="A192" s="9"/>
    </row>
    <row r="193" ht="15.75" customHeight="1" spans="1:1">
      <c r="A193" s="9"/>
    </row>
    <row r="194" ht="15.75" customHeight="1" spans="1:1">
      <c r="A194" s="9"/>
    </row>
    <row r="195" ht="15.75" customHeight="1" spans="1:1">
      <c r="A195" s="9"/>
    </row>
    <row r="196" ht="15.75" customHeight="1" spans="1:1">
      <c r="A196" s="9"/>
    </row>
    <row r="197" ht="15.75" customHeight="1" spans="1:1">
      <c r="A197" s="9"/>
    </row>
    <row r="198" ht="15.75" customHeight="1" spans="1:1">
      <c r="A198" s="9"/>
    </row>
    <row r="199" ht="15.75" customHeight="1" spans="1:1">
      <c r="A199" s="9"/>
    </row>
    <row r="200" ht="15.75" customHeight="1" spans="1:1">
      <c r="A200" s="9"/>
    </row>
    <row r="201" ht="15.75" customHeight="1" spans="1:1">
      <c r="A201" s="9"/>
    </row>
    <row r="202" ht="15.75" customHeight="1" spans="1:1">
      <c r="A202" s="9"/>
    </row>
    <row r="203" ht="15.75" customHeight="1" spans="1:1">
      <c r="A203" s="9"/>
    </row>
    <row r="204" ht="15.75" customHeight="1" spans="1:1">
      <c r="A204" s="9"/>
    </row>
    <row r="205" ht="15.75" customHeight="1" spans="1:1">
      <c r="A205" s="9"/>
    </row>
    <row r="206" ht="15.75" customHeight="1" spans="1:1">
      <c r="A206" s="9"/>
    </row>
    <row r="207" ht="15.75" customHeight="1" spans="1:1">
      <c r="A207" s="9"/>
    </row>
    <row r="208" ht="15.75" customHeight="1" spans="1:1">
      <c r="A208" s="9"/>
    </row>
    <row r="209" ht="15.75" customHeight="1" spans="1:1">
      <c r="A209" s="9"/>
    </row>
    <row r="210" ht="15.75" customHeight="1" spans="1:1">
      <c r="A210" s="9"/>
    </row>
    <row r="211" ht="15.75" customHeight="1" spans="1:1">
      <c r="A211" s="9"/>
    </row>
    <row r="212" ht="15.75" customHeight="1" spans="1:1">
      <c r="A212" s="9"/>
    </row>
    <row r="213" ht="15.75" customHeight="1" spans="1:1">
      <c r="A213" s="9"/>
    </row>
    <row r="214" ht="15.75" customHeight="1" spans="1:1">
      <c r="A214" s="9"/>
    </row>
    <row r="215" ht="15.75" customHeight="1" spans="1:1">
      <c r="A215" s="9"/>
    </row>
    <row r="216" ht="15.75" customHeight="1" spans="1:1">
      <c r="A216" s="9"/>
    </row>
    <row r="217" ht="15.75" customHeight="1" spans="1:1">
      <c r="A217" s="9"/>
    </row>
    <row r="218" ht="15.75" customHeight="1" spans="1:1">
      <c r="A218" s="9"/>
    </row>
    <row r="219" ht="15.75" customHeight="1" spans="1:1">
      <c r="A219" s="9"/>
    </row>
    <row r="220" ht="15.75" customHeight="1" spans="1:1">
      <c r="A220" s="9"/>
    </row>
    <row r="221" ht="15.75" customHeight="1" spans="1:1">
      <c r="A221" s="9"/>
    </row>
    <row r="222" ht="15.75" customHeight="1" spans="1:1">
      <c r="A222" s="9"/>
    </row>
    <row r="223" ht="15.75" customHeight="1" spans="1:1">
      <c r="A223" s="9"/>
    </row>
    <row r="224" ht="15.75" customHeight="1" spans="1:1">
      <c r="A224" s="9"/>
    </row>
    <row r="225" ht="15.75" customHeight="1" spans="1:1">
      <c r="A225" s="9"/>
    </row>
    <row r="226" ht="15.75" customHeight="1" spans="1:1">
      <c r="A226" s="9"/>
    </row>
    <row r="227" ht="15.75" customHeight="1" spans="1:1">
      <c r="A227" s="9"/>
    </row>
    <row r="228" ht="15.75" customHeight="1" spans="1:1">
      <c r="A228" s="9"/>
    </row>
    <row r="229" ht="15.75" customHeight="1" spans="1:1">
      <c r="A229" s="9"/>
    </row>
    <row r="230" ht="15.75" customHeight="1" spans="1:1">
      <c r="A230" s="9"/>
    </row>
    <row r="231" ht="15.75" customHeight="1" spans="1:1">
      <c r="A231" s="9"/>
    </row>
    <row r="232" ht="15.75" customHeight="1" spans="1:1">
      <c r="A232" s="9"/>
    </row>
    <row r="233" ht="15.75" customHeight="1" spans="1:1">
      <c r="A233" s="9"/>
    </row>
    <row r="234" ht="15.75" customHeight="1" spans="1:1">
      <c r="A234" s="9"/>
    </row>
    <row r="235" ht="15.75" customHeight="1" spans="1:1">
      <c r="A235" s="9"/>
    </row>
    <row r="236" ht="15.75" customHeight="1" spans="1:1">
      <c r="A236" s="9"/>
    </row>
    <row r="237" ht="15.75" customHeight="1" spans="1:1">
      <c r="A237" s="9"/>
    </row>
    <row r="238" ht="15.75" customHeight="1" spans="1:1">
      <c r="A238" s="9"/>
    </row>
    <row r="239" ht="15.75" customHeight="1" spans="1:1">
      <c r="A239" s="9"/>
    </row>
    <row r="240" ht="15.75" customHeight="1" spans="1:1">
      <c r="A240" s="9"/>
    </row>
    <row r="241" ht="15.75" customHeight="1" spans="1:1">
      <c r="A241" s="9"/>
    </row>
    <row r="242" ht="15.75" customHeight="1" spans="1:1">
      <c r="A242" s="9"/>
    </row>
    <row r="243" ht="15.75" customHeight="1" spans="1:1">
      <c r="A243" s="9"/>
    </row>
    <row r="244" ht="15.75" customHeight="1" spans="1:1">
      <c r="A244" s="9"/>
    </row>
    <row r="245" ht="15.75" customHeight="1" spans="1:1">
      <c r="A245" s="9"/>
    </row>
    <row r="246" ht="15.75" customHeight="1" spans="1:1">
      <c r="A246" s="9"/>
    </row>
    <row r="247" ht="15.75" customHeight="1" spans="1:1">
      <c r="A247" s="9"/>
    </row>
    <row r="248" ht="15.75" customHeight="1" spans="1:1">
      <c r="A248" s="9"/>
    </row>
    <row r="249" ht="15.75" customHeight="1" spans="1:1">
      <c r="A249" s="9"/>
    </row>
    <row r="250" ht="15.75" customHeight="1" spans="1:1">
      <c r="A250" s="9"/>
    </row>
    <row r="251" ht="15.75" customHeight="1" spans="1:1">
      <c r="A251" s="9"/>
    </row>
    <row r="252" ht="15.75" customHeight="1" spans="1:1">
      <c r="A252" s="9"/>
    </row>
    <row r="253" ht="15.75" customHeight="1" spans="1:1">
      <c r="A253" s="9"/>
    </row>
    <row r="254" ht="15.75" customHeight="1" spans="1:1">
      <c r="A254" s="9"/>
    </row>
    <row r="255" ht="15.75" customHeight="1" spans="1:1">
      <c r="A255" s="9"/>
    </row>
    <row r="256" ht="15.75" customHeight="1" spans="1:1">
      <c r="A256" s="9"/>
    </row>
    <row r="257" ht="15.75" customHeight="1" spans="1:1">
      <c r="A257" s="9"/>
    </row>
    <row r="258" ht="15.75" customHeight="1" spans="1:1">
      <c r="A258" s="9"/>
    </row>
    <row r="259" ht="15.75" customHeight="1" spans="1:1">
      <c r="A259" s="9"/>
    </row>
    <row r="260" ht="15.75" customHeight="1" spans="1:1">
      <c r="A260" s="9"/>
    </row>
    <row r="261" ht="15.75" customHeight="1" spans="1:1">
      <c r="A261" s="9"/>
    </row>
    <row r="262" ht="15.75" customHeight="1" spans="1:1">
      <c r="A262" s="9"/>
    </row>
    <row r="263" ht="15.75" customHeight="1" spans="1:1">
      <c r="A263" s="9"/>
    </row>
    <row r="264" ht="15.75" customHeight="1" spans="1:1">
      <c r="A264" s="9"/>
    </row>
    <row r="265" ht="15.75" customHeight="1" spans="1:1">
      <c r="A265" s="9"/>
    </row>
    <row r="266" ht="15.75" customHeight="1" spans="1:1">
      <c r="A266" s="9"/>
    </row>
    <row r="267" ht="15.75" customHeight="1" spans="1:1">
      <c r="A267" s="9"/>
    </row>
    <row r="268" ht="15.75" customHeight="1" spans="1:1">
      <c r="A268" s="9"/>
    </row>
    <row r="269" ht="15.75" customHeight="1" spans="1:1">
      <c r="A269" s="9"/>
    </row>
    <row r="270" ht="15.75" customHeight="1" spans="1:1">
      <c r="A270" s="9"/>
    </row>
    <row r="271" ht="15.75" customHeight="1" spans="1:1">
      <c r="A271" s="9"/>
    </row>
    <row r="272" ht="15.75" customHeight="1" spans="1:1">
      <c r="A272" s="9"/>
    </row>
    <row r="273" ht="15.75" customHeight="1" spans="1:1">
      <c r="A273" s="9"/>
    </row>
    <row r="274" ht="15.75" customHeight="1" spans="1:1">
      <c r="A274" s="9"/>
    </row>
    <row r="275" ht="15.75" customHeight="1" spans="1:1">
      <c r="A275" s="9"/>
    </row>
    <row r="276" ht="15.75" customHeight="1" spans="1:1">
      <c r="A276" s="9"/>
    </row>
    <row r="277" ht="15.75" customHeight="1" spans="1:1">
      <c r="A277" s="9"/>
    </row>
    <row r="278" ht="15.75" customHeight="1" spans="1:1">
      <c r="A278" s="9"/>
    </row>
    <row r="279" ht="15.75" customHeight="1" spans="1:1">
      <c r="A279" s="9"/>
    </row>
    <row r="280" ht="15.75" customHeight="1" spans="1:1">
      <c r="A280" s="9"/>
    </row>
    <row r="281" ht="15.75" customHeight="1" spans="1:1">
      <c r="A281" s="9"/>
    </row>
    <row r="282" ht="15.75" customHeight="1" spans="1:1">
      <c r="A282" s="9"/>
    </row>
    <row r="283" ht="15.75" customHeight="1" spans="1:1">
      <c r="A283" s="9"/>
    </row>
    <row r="284" ht="15.75" customHeight="1" spans="1:1">
      <c r="A284" s="9"/>
    </row>
    <row r="285" ht="15.75" customHeight="1" spans="1:1">
      <c r="A285" s="9"/>
    </row>
    <row r="286" ht="15.75" customHeight="1" spans="1:1">
      <c r="A286" s="9"/>
    </row>
    <row r="287" ht="15.75" customHeight="1" spans="1:1">
      <c r="A287" s="9"/>
    </row>
    <row r="288" ht="15.75" customHeight="1" spans="1:1">
      <c r="A288" s="9"/>
    </row>
    <row r="289" ht="15.75" customHeight="1" spans="1:1">
      <c r="A289" s="9"/>
    </row>
    <row r="290" ht="15.75" customHeight="1" spans="1:1">
      <c r="A290" s="9"/>
    </row>
    <row r="291" ht="15.75" customHeight="1" spans="1:1">
      <c r="A291" s="9"/>
    </row>
    <row r="292" ht="15.75" customHeight="1" spans="1:1">
      <c r="A292" s="9"/>
    </row>
    <row r="293" ht="15.75" customHeight="1" spans="1:1">
      <c r="A293" s="9"/>
    </row>
    <row r="294" ht="15.75" customHeight="1" spans="1:1">
      <c r="A294" s="9"/>
    </row>
    <row r="295" ht="15.75" customHeight="1" spans="1:1">
      <c r="A295" s="9"/>
    </row>
    <row r="296" ht="15.75" customHeight="1" spans="1:1">
      <c r="A296" s="9"/>
    </row>
    <row r="297" ht="15.75" customHeight="1" spans="1:1">
      <c r="A297" s="9"/>
    </row>
    <row r="298" ht="15.75" customHeight="1" spans="1:1">
      <c r="A298" s="9"/>
    </row>
    <row r="299" ht="15.75" customHeight="1" spans="1:1">
      <c r="A299" s="9"/>
    </row>
    <row r="300" ht="15.75" customHeight="1" spans="1:1">
      <c r="A300" s="9"/>
    </row>
    <row r="301" ht="15.75" customHeight="1" spans="1:1">
      <c r="A301" s="9"/>
    </row>
    <row r="302" ht="15.75" customHeight="1" spans="1:1">
      <c r="A302" s="9"/>
    </row>
    <row r="303" ht="15.75" customHeight="1" spans="1:1">
      <c r="A303" s="9"/>
    </row>
    <row r="304" ht="15.75" customHeight="1" spans="1:1">
      <c r="A304" s="9"/>
    </row>
    <row r="305" ht="15.75" customHeight="1" spans="1:1">
      <c r="A305" s="9"/>
    </row>
    <row r="306" ht="15.75" customHeight="1" spans="1:1">
      <c r="A306" s="9"/>
    </row>
    <row r="307" ht="15.75" customHeight="1" spans="1:1">
      <c r="A307" s="9"/>
    </row>
    <row r="308" ht="15.75" customHeight="1" spans="1:1">
      <c r="A308" s="9"/>
    </row>
    <row r="309" ht="15.75" customHeight="1" spans="1:1">
      <c r="A309" s="9"/>
    </row>
    <row r="310" ht="15.75" customHeight="1" spans="1:1">
      <c r="A310" s="9"/>
    </row>
    <row r="311" ht="15.75" customHeight="1" spans="1:1">
      <c r="A311" s="9"/>
    </row>
    <row r="312" ht="15.75" customHeight="1" spans="1:1">
      <c r="A312" s="9"/>
    </row>
    <row r="313" ht="15.75" customHeight="1" spans="1:1">
      <c r="A313" s="9"/>
    </row>
    <row r="314" ht="15.75" customHeight="1" spans="1:1">
      <c r="A314" s="9"/>
    </row>
    <row r="315" ht="15.75" customHeight="1" spans="1:1">
      <c r="A315" s="9"/>
    </row>
    <row r="316" ht="15.75" customHeight="1" spans="1:1">
      <c r="A316" s="9"/>
    </row>
    <row r="317" ht="15.75" customHeight="1" spans="1:1">
      <c r="A317" s="9"/>
    </row>
    <row r="318" ht="15.75" customHeight="1" spans="1:1">
      <c r="A318" s="9"/>
    </row>
    <row r="319" ht="15.75" customHeight="1" spans="1:1">
      <c r="A319" s="9"/>
    </row>
    <row r="320" ht="15.75" customHeight="1" spans="1:1">
      <c r="A320" s="9"/>
    </row>
    <row r="321" ht="15.75" customHeight="1" spans="1:1">
      <c r="A321" s="9"/>
    </row>
    <row r="322" ht="15.75" customHeight="1" spans="1:1">
      <c r="A322" s="9"/>
    </row>
    <row r="323" ht="15.75" customHeight="1" spans="1:1">
      <c r="A323" s="9"/>
    </row>
    <row r="324" ht="15.75" customHeight="1" spans="1:1">
      <c r="A324" s="9"/>
    </row>
    <row r="325" ht="15.75" customHeight="1" spans="1:1">
      <c r="A325" s="9"/>
    </row>
    <row r="326" ht="15.75" customHeight="1" spans="1:1">
      <c r="A326" s="9"/>
    </row>
    <row r="327" ht="15.75" customHeight="1" spans="1:1">
      <c r="A327" s="9"/>
    </row>
    <row r="328" ht="15.75" customHeight="1" spans="1:1">
      <c r="A328" s="9"/>
    </row>
    <row r="329" ht="15.75" customHeight="1" spans="1:1">
      <c r="A329" s="9"/>
    </row>
    <row r="330" ht="15.75" customHeight="1" spans="1:1">
      <c r="A330" s="9"/>
    </row>
    <row r="331" ht="15.75" customHeight="1" spans="1:1">
      <c r="A331" s="9"/>
    </row>
    <row r="332" ht="15.75" customHeight="1" spans="1:1">
      <c r="A332" s="9"/>
    </row>
    <row r="333" ht="15.75" customHeight="1" spans="1:1">
      <c r="A333" s="9"/>
    </row>
    <row r="334" ht="15.75" customHeight="1" spans="1:1">
      <c r="A334" s="9"/>
    </row>
    <row r="335" ht="15.75" customHeight="1" spans="1:1">
      <c r="A335" s="9"/>
    </row>
    <row r="336" ht="15.75" customHeight="1" spans="1:1">
      <c r="A336" s="9"/>
    </row>
    <row r="337" ht="15.75" customHeight="1" spans="1:1">
      <c r="A337" s="9"/>
    </row>
    <row r="338" ht="15.75" customHeight="1" spans="1:1">
      <c r="A338" s="9"/>
    </row>
    <row r="339" ht="15.75" customHeight="1" spans="1:1">
      <c r="A339" s="9"/>
    </row>
    <row r="340" ht="15.75" customHeight="1" spans="1:1">
      <c r="A340" s="9"/>
    </row>
    <row r="341" ht="15.75" customHeight="1" spans="1:1">
      <c r="A341" s="9"/>
    </row>
    <row r="342" ht="15.75" customHeight="1" spans="1:1">
      <c r="A342" s="9"/>
    </row>
    <row r="343" ht="15.75" customHeight="1" spans="1:1">
      <c r="A343" s="9"/>
    </row>
    <row r="344" ht="15.75" customHeight="1" spans="1:1">
      <c r="A344" s="9"/>
    </row>
    <row r="345" ht="15.75" customHeight="1" spans="1:1">
      <c r="A345" s="9"/>
    </row>
    <row r="346" ht="15.75" customHeight="1" spans="1:1">
      <c r="A346" s="9"/>
    </row>
    <row r="347" ht="15.75" customHeight="1" spans="1:1">
      <c r="A347" s="9"/>
    </row>
    <row r="348" ht="15.75" customHeight="1" spans="1:1">
      <c r="A348" s="9"/>
    </row>
    <row r="349" ht="15.75" customHeight="1" spans="1:1">
      <c r="A349" s="9"/>
    </row>
    <row r="350" ht="15.75" customHeight="1" spans="1:1">
      <c r="A350" s="9"/>
    </row>
    <row r="351" ht="15.75" customHeight="1" spans="1:1">
      <c r="A351" s="9"/>
    </row>
    <row r="352" ht="15.75" customHeight="1" spans="1:1">
      <c r="A352" s="9"/>
    </row>
    <row r="353" ht="15.75" customHeight="1" spans="1:1">
      <c r="A353" s="9"/>
    </row>
    <row r="354" ht="15.75" customHeight="1" spans="1:1">
      <c r="A354" s="9"/>
    </row>
    <row r="355" ht="15.75" customHeight="1" spans="1:1">
      <c r="A355" s="9"/>
    </row>
    <row r="356" ht="15.75" customHeight="1" spans="1:1">
      <c r="A356" s="9"/>
    </row>
    <row r="357" ht="15.75" customHeight="1" spans="1:1">
      <c r="A357" s="9"/>
    </row>
    <row r="358" ht="15.75" customHeight="1" spans="1:1">
      <c r="A358" s="9"/>
    </row>
    <row r="359" ht="15.75" customHeight="1" spans="1:1">
      <c r="A359" s="9"/>
    </row>
    <row r="360" ht="15.75" customHeight="1" spans="1:1">
      <c r="A360" s="9"/>
    </row>
    <row r="361" ht="15.75" customHeight="1" spans="1:1">
      <c r="A361" s="9"/>
    </row>
    <row r="362" ht="15.75" customHeight="1" spans="1:1">
      <c r="A362" s="9"/>
    </row>
    <row r="363" ht="15.75" customHeight="1" spans="1:1">
      <c r="A363" s="9"/>
    </row>
    <row r="364" ht="15.75" customHeight="1" spans="1:1">
      <c r="A364" s="9"/>
    </row>
    <row r="365" ht="15.75" customHeight="1" spans="1:1">
      <c r="A365" s="9"/>
    </row>
    <row r="366" ht="15.75" customHeight="1" spans="1:1">
      <c r="A366" s="9"/>
    </row>
    <row r="367" ht="15.75" customHeight="1" spans="1:1">
      <c r="A367" s="9"/>
    </row>
    <row r="368" ht="15.75" customHeight="1" spans="1:1">
      <c r="A368" s="9"/>
    </row>
    <row r="369" ht="15.75" customHeight="1" spans="1:1">
      <c r="A369" s="9"/>
    </row>
    <row r="370" ht="15.75" customHeight="1" spans="1:1">
      <c r="A370" s="9"/>
    </row>
    <row r="371" ht="15.75" customHeight="1" spans="1:1">
      <c r="A371" s="9"/>
    </row>
    <row r="372" ht="15.75" customHeight="1" spans="1:1">
      <c r="A372" s="9"/>
    </row>
    <row r="373" ht="15.75" customHeight="1" spans="1:1">
      <c r="A373" s="9"/>
    </row>
    <row r="374" ht="15.75" customHeight="1" spans="1:1">
      <c r="A374" s="9"/>
    </row>
    <row r="375" ht="15.75" customHeight="1" spans="1:1">
      <c r="A375" s="9"/>
    </row>
    <row r="376" ht="15.75" customHeight="1" spans="1:1">
      <c r="A376" s="9"/>
    </row>
    <row r="377" ht="15.75" customHeight="1" spans="1:1">
      <c r="A377" s="9"/>
    </row>
    <row r="378" ht="15.75" customHeight="1" spans="1:1">
      <c r="A378" s="9"/>
    </row>
    <row r="379" ht="15.75" customHeight="1" spans="1:1">
      <c r="A379" s="9"/>
    </row>
    <row r="380" ht="15.75" customHeight="1" spans="1:1">
      <c r="A380" s="9"/>
    </row>
    <row r="381" ht="15.75" customHeight="1" spans="1:1">
      <c r="A381" s="9"/>
    </row>
    <row r="382" ht="15.75" customHeight="1" spans="1:1">
      <c r="A382" s="9"/>
    </row>
    <row r="383" ht="15.75" customHeight="1" spans="1:1">
      <c r="A383" s="9"/>
    </row>
    <row r="384" ht="15.75" customHeight="1" spans="1:1">
      <c r="A384" s="9"/>
    </row>
    <row r="385" ht="15.75" customHeight="1" spans="1:1">
      <c r="A385" s="9"/>
    </row>
    <row r="386" ht="15.75" customHeight="1" spans="1:1">
      <c r="A386" s="9"/>
    </row>
    <row r="387" ht="15.75" customHeight="1" spans="1:1">
      <c r="A387" s="9"/>
    </row>
    <row r="388" ht="15.75" customHeight="1" spans="1:1">
      <c r="A388" s="9"/>
    </row>
    <row r="389" ht="15.75" customHeight="1" spans="1:1">
      <c r="A389" s="9"/>
    </row>
    <row r="390" ht="15.75" customHeight="1" spans="1:1">
      <c r="A390" s="9"/>
    </row>
    <row r="391" ht="15.75" customHeight="1" spans="1:1">
      <c r="A391" s="9"/>
    </row>
    <row r="392" ht="15.75" customHeight="1" spans="1:1">
      <c r="A392" s="9"/>
    </row>
    <row r="393" ht="15.75" customHeight="1" spans="1:1">
      <c r="A393" s="9"/>
    </row>
    <row r="394" ht="15.75" customHeight="1" spans="1:1">
      <c r="A394" s="9"/>
    </row>
    <row r="395" ht="15.75" customHeight="1" spans="1:1">
      <c r="A395" s="9"/>
    </row>
    <row r="396" ht="15.75" customHeight="1" spans="1:1">
      <c r="A396" s="9"/>
    </row>
    <row r="397" ht="15.75" customHeight="1" spans="1:1">
      <c r="A397" s="9"/>
    </row>
    <row r="398" ht="15.75" customHeight="1" spans="1:1">
      <c r="A398" s="9"/>
    </row>
    <row r="399" ht="15.75" customHeight="1" spans="1:1">
      <c r="A399" s="9"/>
    </row>
    <row r="400" ht="15.75" customHeight="1" spans="1:1">
      <c r="A400" s="9"/>
    </row>
    <row r="401" ht="15.75" customHeight="1" spans="1:1">
      <c r="A401" s="9"/>
    </row>
    <row r="402" ht="15.75" customHeight="1" spans="1:1">
      <c r="A402" s="9"/>
    </row>
    <row r="403" ht="15.75" customHeight="1" spans="1:1">
      <c r="A403" s="9"/>
    </row>
    <row r="404" ht="15.75" customHeight="1" spans="1:1">
      <c r="A404" s="9"/>
    </row>
    <row r="405" ht="15.75" customHeight="1" spans="1:1">
      <c r="A405" s="9"/>
    </row>
    <row r="406" ht="15.75" customHeight="1" spans="1:1">
      <c r="A406" s="9"/>
    </row>
    <row r="407" ht="15.75" customHeight="1" spans="1:1">
      <c r="A407" s="9"/>
    </row>
    <row r="408" ht="15.75" customHeight="1" spans="1:1">
      <c r="A408" s="9"/>
    </row>
    <row r="409" ht="15.75" customHeight="1" spans="1:1">
      <c r="A409" s="9"/>
    </row>
    <row r="410" ht="15.75" customHeight="1" spans="1:1">
      <c r="A410" s="9"/>
    </row>
    <row r="411" ht="15.75" customHeight="1" spans="1:1">
      <c r="A411" s="9"/>
    </row>
    <row r="412" ht="15.75" customHeight="1" spans="1:1">
      <c r="A412" s="9"/>
    </row>
    <row r="413" ht="15.75" customHeight="1" spans="1:1">
      <c r="A413" s="9"/>
    </row>
    <row r="414" ht="15.75" customHeight="1" spans="1:1">
      <c r="A414" s="9"/>
    </row>
    <row r="415" ht="15.75" customHeight="1" spans="1:1">
      <c r="A415" s="9"/>
    </row>
    <row r="416" ht="15.75" customHeight="1" spans="1:1">
      <c r="A416" s="9"/>
    </row>
    <row r="417" ht="15.75" customHeight="1" spans="1:1">
      <c r="A417" s="9"/>
    </row>
    <row r="418" ht="15.75" customHeight="1" spans="1:1">
      <c r="A418" s="9"/>
    </row>
    <row r="419" ht="15.75" customHeight="1" spans="1:1">
      <c r="A419" s="9"/>
    </row>
    <row r="420" ht="15.75" customHeight="1" spans="1:1">
      <c r="A420" s="9"/>
    </row>
    <row r="421" ht="15.75" customHeight="1" spans="1:1">
      <c r="A421" s="9"/>
    </row>
    <row r="422" ht="15.75" customHeight="1" spans="1:1">
      <c r="A422" s="9"/>
    </row>
    <row r="423" ht="15.75" customHeight="1" spans="1:1">
      <c r="A423" s="9"/>
    </row>
    <row r="424" ht="15.75" customHeight="1" spans="1:1">
      <c r="A424" s="9"/>
    </row>
    <row r="425" ht="15.75" customHeight="1" spans="1:1">
      <c r="A425" s="9"/>
    </row>
    <row r="426" ht="15.75" customHeight="1" spans="1:1">
      <c r="A426" s="9"/>
    </row>
    <row r="427" ht="15.75" customHeight="1" spans="1:1">
      <c r="A427" s="9"/>
    </row>
    <row r="428" ht="15.75" customHeight="1" spans="1:1">
      <c r="A428" s="9"/>
    </row>
    <row r="429" ht="15.75" customHeight="1" spans="1:1">
      <c r="A429" s="9"/>
    </row>
    <row r="430" ht="15.75" customHeight="1" spans="1:1">
      <c r="A430" s="9"/>
    </row>
    <row r="431" ht="15.75" customHeight="1" spans="1:1">
      <c r="A431" s="9"/>
    </row>
    <row r="432" ht="15.75" customHeight="1" spans="1:1">
      <c r="A432" s="9"/>
    </row>
    <row r="433" ht="15.75" customHeight="1" spans="1:1">
      <c r="A433" s="9"/>
    </row>
    <row r="434" ht="15.75" customHeight="1" spans="1:1">
      <c r="A434" s="9"/>
    </row>
    <row r="435" ht="15.75" customHeight="1" spans="1:1">
      <c r="A435" s="9"/>
    </row>
    <row r="436" ht="15.75" customHeight="1" spans="1:1">
      <c r="A436" s="9"/>
    </row>
    <row r="437" ht="15.75" customHeight="1" spans="1:1">
      <c r="A437" s="9"/>
    </row>
    <row r="438" ht="15.75" customHeight="1" spans="1:1">
      <c r="A438" s="9"/>
    </row>
    <row r="439" ht="15.75" customHeight="1" spans="1:1">
      <c r="A439" s="9"/>
    </row>
    <row r="440" ht="15.75" customHeight="1" spans="1:1">
      <c r="A440" s="9"/>
    </row>
    <row r="441" ht="15.75" customHeight="1" spans="1:1">
      <c r="A441" s="9"/>
    </row>
    <row r="442" ht="15.75" customHeight="1" spans="1:1">
      <c r="A442" s="9"/>
    </row>
    <row r="443" ht="15.75" customHeight="1" spans="1:1">
      <c r="A443" s="9"/>
    </row>
    <row r="444" ht="15.75" customHeight="1" spans="1:1">
      <c r="A444" s="9"/>
    </row>
    <row r="445" ht="15.75" customHeight="1" spans="1:1">
      <c r="A445" s="9"/>
    </row>
    <row r="446" ht="15.75" customHeight="1" spans="1:1">
      <c r="A446" s="9"/>
    </row>
    <row r="447" ht="15.75" customHeight="1" spans="1:1">
      <c r="A447" s="9"/>
    </row>
    <row r="448" ht="15.75" customHeight="1" spans="1:1">
      <c r="A448" s="9"/>
    </row>
    <row r="449" ht="15.75" customHeight="1" spans="1:1">
      <c r="A449" s="9"/>
    </row>
    <row r="450" ht="15.75" customHeight="1" spans="1:1">
      <c r="A450" s="9"/>
    </row>
    <row r="451" ht="15.75" customHeight="1" spans="1:1">
      <c r="A451" s="9"/>
    </row>
    <row r="452" ht="15.75" customHeight="1" spans="1:1">
      <c r="A452" s="9"/>
    </row>
    <row r="453" ht="15.75" customHeight="1" spans="1:1">
      <c r="A453" s="9"/>
    </row>
    <row r="454" ht="15.75" customHeight="1" spans="1:1">
      <c r="A454" s="9"/>
    </row>
    <row r="455" ht="15.75" customHeight="1" spans="1:1">
      <c r="A455" s="9"/>
    </row>
    <row r="456" ht="15.75" customHeight="1" spans="1:1">
      <c r="A456" s="9"/>
    </row>
    <row r="457" ht="15.75" customHeight="1" spans="1:1">
      <c r="A457" s="9"/>
    </row>
    <row r="458" ht="15.75" customHeight="1" spans="1:1">
      <c r="A458" s="9"/>
    </row>
    <row r="459" ht="15.75" customHeight="1" spans="1:1">
      <c r="A459" s="9"/>
    </row>
    <row r="460" ht="15.75" customHeight="1" spans="1:1">
      <c r="A460" s="9"/>
    </row>
    <row r="461" ht="15.75" customHeight="1" spans="1:1">
      <c r="A461" s="9"/>
    </row>
    <row r="462" ht="15.75" customHeight="1" spans="1:1">
      <c r="A462" s="9"/>
    </row>
    <row r="463" ht="15.75" customHeight="1" spans="1:1">
      <c r="A463" s="9"/>
    </row>
    <row r="464" ht="15.75" customHeight="1" spans="1:1">
      <c r="A464" s="9"/>
    </row>
    <row r="465" ht="15.75" customHeight="1" spans="1:1">
      <c r="A465" s="9"/>
    </row>
    <row r="466" ht="15.75" customHeight="1" spans="1:1">
      <c r="A466" s="9"/>
    </row>
    <row r="467" ht="15.75" customHeight="1" spans="1:1">
      <c r="A467" s="9"/>
    </row>
    <row r="468" ht="15.75" customHeight="1" spans="1:1">
      <c r="A468" s="9"/>
    </row>
    <row r="469" ht="15.75" customHeight="1" spans="1:1">
      <c r="A469" s="9"/>
    </row>
    <row r="470" ht="15.75" customHeight="1" spans="1:1">
      <c r="A470" s="9"/>
    </row>
    <row r="471" ht="15.75" customHeight="1" spans="1:1">
      <c r="A471" s="9"/>
    </row>
    <row r="472" ht="15.75" customHeight="1" spans="1:1">
      <c r="A472" s="9"/>
    </row>
    <row r="473" ht="15.75" customHeight="1" spans="1:1">
      <c r="A473" s="9"/>
    </row>
    <row r="474" ht="15.75" customHeight="1" spans="1:1">
      <c r="A474" s="9"/>
    </row>
    <row r="475" ht="15.75" customHeight="1" spans="1:1">
      <c r="A475" s="9"/>
    </row>
    <row r="476" ht="15.75" customHeight="1" spans="1:1">
      <c r="A476" s="9"/>
    </row>
    <row r="477" ht="15.75" customHeight="1" spans="1:1">
      <c r="A477" s="9"/>
    </row>
    <row r="478" ht="15.75" customHeight="1" spans="1:1">
      <c r="A478" s="9"/>
    </row>
    <row r="479" ht="15.75" customHeight="1" spans="1:1">
      <c r="A479" s="9"/>
    </row>
    <row r="480" ht="15.75" customHeight="1" spans="1:1">
      <c r="A480" s="9"/>
    </row>
    <row r="481" ht="15.75" customHeight="1" spans="1:1">
      <c r="A481" s="9"/>
    </row>
    <row r="482" ht="15.75" customHeight="1" spans="1:1">
      <c r="A482" s="9"/>
    </row>
    <row r="483" ht="15.75" customHeight="1" spans="1:1">
      <c r="A483" s="9"/>
    </row>
    <row r="484" ht="15.75" customHeight="1" spans="1:1">
      <c r="A484" s="9"/>
    </row>
    <row r="485" ht="15.75" customHeight="1" spans="1:1">
      <c r="A485" s="9"/>
    </row>
    <row r="486" ht="15.75" customHeight="1" spans="1:1">
      <c r="A486" s="9"/>
    </row>
    <row r="487" ht="15.75" customHeight="1" spans="1:1">
      <c r="A487" s="9"/>
    </row>
    <row r="488" ht="15.75" customHeight="1" spans="1:1">
      <c r="A488" s="9"/>
    </row>
    <row r="489" ht="15.75" customHeight="1" spans="1:1">
      <c r="A489" s="9"/>
    </row>
    <row r="490" ht="15.75" customHeight="1" spans="1:1">
      <c r="A490" s="9"/>
    </row>
    <row r="491" ht="15.75" customHeight="1" spans="1:1">
      <c r="A491" s="9"/>
    </row>
    <row r="492" ht="15.75" customHeight="1" spans="1:1">
      <c r="A492" s="9"/>
    </row>
    <row r="493" ht="15.75" customHeight="1" spans="1:1">
      <c r="A493" s="9"/>
    </row>
    <row r="494" ht="15.75" customHeight="1" spans="1:1">
      <c r="A494" s="9"/>
    </row>
    <row r="495" ht="15.75" customHeight="1" spans="1:1">
      <c r="A495" s="9"/>
    </row>
    <row r="496" ht="15.75" customHeight="1" spans="1:1">
      <c r="A496" s="9"/>
    </row>
    <row r="497" ht="15.75" customHeight="1" spans="1:1">
      <c r="A497" s="9"/>
    </row>
    <row r="498" ht="15.75" customHeight="1" spans="1:1">
      <c r="A498" s="9"/>
    </row>
    <row r="499" ht="15.75" customHeight="1" spans="1:1">
      <c r="A499" s="9"/>
    </row>
    <row r="500" ht="15.75" customHeight="1" spans="1:1">
      <c r="A500" s="9"/>
    </row>
    <row r="501" ht="15.75" customHeight="1" spans="1:1">
      <c r="A501" s="9"/>
    </row>
    <row r="502" ht="15.75" customHeight="1" spans="1:1">
      <c r="A502" s="9"/>
    </row>
    <row r="503" ht="15.75" customHeight="1" spans="1:1">
      <c r="A503" s="9"/>
    </row>
    <row r="504" ht="15.75" customHeight="1" spans="1:1">
      <c r="A504" s="9"/>
    </row>
    <row r="505" ht="15.75" customHeight="1" spans="1:1">
      <c r="A505" s="9"/>
    </row>
    <row r="506" ht="15.75" customHeight="1" spans="1:1">
      <c r="A506" s="9"/>
    </row>
    <row r="507" ht="15.75" customHeight="1" spans="1:1">
      <c r="A507" s="9"/>
    </row>
    <row r="508" ht="15.75" customHeight="1" spans="1:1">
      <c r="A508" s="9"/>
    </row>
    <row r="509" ht="15.75" customHeight="1" spans="1:1">
      <c r="A509" s="9"/>
    </row>
    <row r="510" ht="15.75" customHeight="1" spans="1:1">
      <c r="A510" s="9"/>
    </row>
    <row r="511" ht="15.75" customHeight="1" spans="1:1">
      <c r="A511" s="9"/>
    </row>
    <row r="512" ht="15.75" customHeight="1" spans="1:1">
      <c r="A512" s="9"/>
    </row>
    <row r="513" ht="15.75" customHeight="1" spans="1:1">
      <c r="A513" s="9"/>
    </row>
    <row r="514" ht="15.75" customHeight="1" spans="1:1">
      <c r="A514" s="9"/>
    </row>
    <row r="515" ht="15.75" customHeight="1" spans="1:1">
      <c r="A515" s="9"/>
    </row>
    <row r="516" ht="15.75" customHeight="1" spans="1:1">
      <c r="A516" s="9"/>
    </row>
    <row r="517" ht="15.75" customHeight="1" spans="1:1">
      <c r="A517" s="9"/>
    </row>
    <row r="518" ht="15.75" customHeight="1" spans="1:1">
      <c r="A518" s="9"/>
    </row>
    <row r="519" ht="15.75" customHeight="1" spans="1:1">
      <c r="A519" s="9"/>
    </row>
    <row r="520" ht="15.75" customHeight="1" spans="1:1">
      <c r="A520" s="9"/>
    </row>
    <row r="521" ht="15.75" customHeight="1" spans="1:1">
      <c r="A521" s="9"/>
    </row>
    <row r="522" ht="15.75" customHeight="1" spans="1:1">
      <c r="A522" s="9"/>
    </row>
    <row r="523" ht="15.75" customHeight="1" spans="1:1">
      <c r="A523" s="9"/>
    </row>
    <row r="524" ht="15.75" customHeight="1" spans="1:1">
      <c r="A524" s="9"/>
    </row>
    <row r="525" ht="15.75" customHeight="1" spans="1:1">
      <c r="A525" s="9"/>
    </row>
    <row r="526" ht="15.75" customHeight="1" spans="1:1">
      <c r="A526" s="9"/>
    </row>
    <row r="527" ht="15.75" customHeight="1" spans="1:1">
      <c r="A527" s="9"/>
    </row>
    <row r="528" ht="15.75" customHeight="1" spans="1:1">
      <c r="A528" s="9"/>
    </row>
    <row r="529" ht="15.75" customHeight="1" spans="1:1">
      <c r="A529" s="9"/>
    </row>
    <row r="530" ht="15.75" customHeight="1" spans="1:1">
      <c r="A530" s="9"/>
    </row>
    <row r="531" ht="15.75" customHeight="1" spans="1:1">
      <c r="A531" s="9"/>
    </row>
    <row r="532" ht="15.75" customHeight="1" spans="1:1">
      <c r="A532" s="9"/>
    </row>
    <row r="533" ht="15.75" customHeight="1" spans="1:1">
      <c r="A533" s="9"/>
    </row>
    <row r="534" ht="15.75" customHeight="1" spans="1:1">
      <c r="A534" s="9"/>
    </row>
    <row r="535" ht="15.75" customHeight="1" spans="1:1">
      <c r="A535" s="9"/>
    </row>
    <row r="536" ht="15.75" customHeight="1" spans="1:1">
      <c r="A536" s="9"/>
    </row>
    <row r="537" ht="15.75" customHeight="1" spans="1:1">
      <c r="A537" s="9"/>
    </row>
    <row r="538" ht="15.75" customHeight="1" spans="1:1">
      <c r="A538" s="9"/>
    </row>
    <row r="539" ht="15.75" customHeight="1" spans="1:1">
      <c r="A539" s="9"/>
    </row>
    <row r="540" ht="15.75" customHeight="1" spans="1:1">
      <c r="A540" s="9"/>
    </row>
    <row r="541" ht="15.75" customHeight="1" spans="1:1">
      <c r="A541" s="9"/>
    </row>
    <row r="542" ht="15.75" customHeight="1" spans="1:1">
      <c r="A542" s="9"/>
    </row>
    <row r="543" ht="15.75" customHeight="1" spans="1:1">
      <c r="A543" s="9"/>
    </row>
    <row r="544" ht="15.75" customHeight="1" spans="1:1">
      <c r="A544" s="9"/>
    </row>
    <row r="545" ht="15.75" customHeight="1" spans="1:1">
      <c r="A545" s="9"/>
    </row>
    <row r="546" ht="15.75" customHeight="1" spans="1:1">
      <c r="A546" s="9"/>
    </row>
    <row r="547" ht="15.75" customHeight="1" spans="1:1">
      <c r="A547" s="9"/>
    </row>
    <row r="548" ht="15.75" customHeight="1" spans="1:1">
      <c r="A548" s="9"/>
    </row>
    <row r="549" ht="15.75" customHeight="1" spans="1:1">
      <c r="A549" s="9"/>
    </row>
    <row r="550" ht="15.75" customHeight="1" spans="1:1">
      <c r="A550" s="9"/>
    </row>
    <row r="551" ht="15.75" customHeight="1" spans="1:1">
      <c r="A551" s="9"/>
    </row>
    <row r="552" ht="15.75" customHeight="1" spans="1:1">
      <c r="A552" s="9"/>
    </row>
    <row r="553" ht="15.75" customHeight="1" spans="1:1">
      <c r="A553" s="9"/>
    </row>
    <row r="554" ht="15.75" customHeight="1" spans="1:1">
      <c r="A554" s="9"/>
    </row>
    <row r="555" ht="15.75" customHeight="1" spans="1:1">
      <c r="A555" s="9"/>
    </row>
    <row r="556" ht="15.75" customHeight="1" spans="1:1">
      <c r="A556" s="9"/>
    </row>
    <row r="557" ht="15.75" customHeight="1" spans="1:1">
      <c r="A557" s="9"/>
    </row>
    <row r="558" ht="15.75" customHeight="1" spans="1:1">
      <c r="A558" s="9"/>
    </row>
    <row r="559" ht="15.75" customHeight="1" spans="1:1">
      <c r="A559" s="9"/>
    </row>
    <row r="560" ht="15.75" customHeight="1" spans="1:1">
      <c r="A560" s="9"/>
    </row>
    <row r="561" ht="15.75" customHeight="1" spans="1:1">
      <c r="A561" s="9"/>
    </row>
    <row r="562" ht="15.75" customHeight="1" spans="1:1">
      <c r="A562" s="9"/>
    </row>
    <row r="563" ht="15.75" customHeight="1" spans="1:1">
      <c r="A563" s="9"/>
    </row>
    <row r="564" ht="15.75" customHeight="1" spans="1:1">
      <c r="A564" s="9"/>
    </row>
    <row r="565" ht="15.75" customHeight="1" spans="1:1">
      <c r="A565" s="9"/>
    </row>
    <row r="566" ht="15.75" customHeight="1" spans="1:1">
      <c r="A566" s="9"/>
    </row>
    <row r="567" ht="15.75" customHeight="1" spans="1:1">
      <c r="A567" s="9"/>
    </row>
    <row r="568" ht="15.75" customHeight="1" spans="1:1">
      <c r="A568" s="9"/>
    </row>
    <row r="569" ht="15.75" customHeight="1" spans="1:1">
      <c r="A569" s="9"/>
    </row>
    <row r="570" ht="15.75" customHeight="1" spans="1:1">
      <c r="A570" s="9"/>
    </row>
    <row r="571" ht="15.75" customHeight="1" spans="1:1">
      <c r="A571" s="9"/>
    </row>
    <row r="572" ht="15.75" customHeight="1" spans="1:1">
      <c r="A572" s="9"/>
    </row>
    <row r="573" ht="15.75" customHeight="1" spans="1:1">
      <c r="A573" s="9"/>
    </row>
    <row r="574" ht="15.75" customHeight="1" spans="1:1">
      <c r="A574" s="9"/>
    </row>
    <row r="575" ht="15.75" customHeight="1" spans="1:1">
      <c r="A575" s="9"/>
    </row>
    <row r="576" ht="15.75" customHeight="1" spans="1:1">
      <c r="A576" s="9"/>
    </row>
    <row r="577" ht="15.75" customHeight="1" spans="1:1">
      <c r="A577" s="9"/>
    </row>
    <row r="578" ht="15.75" customHeight="1" spans="1:1">
      <c r="A578" s="9"/>
    </row>
    <row r="579" ht="15.75" customHeight="1" spans="1:1">
      <c r="A579" s="9"/>
    </row>
    <row r="580" ht="15.75" customHeight="1" spans="1:1">
      <c r="A580" s="9"/>
    </row>
    <row r="581" ht="15.75" customHeight="1" spans="1:1">
      <c r="A581" s="9"/>
    </row>
    <row r="582" ht="15.75" customHeight="1" spans="1:1">
      <c r="A582" s="9"/>
    </row>
    <row r="583" ht="15.75" customHeight="1" spans="1:1">
      <c r="A583" s="9"/>
    </row>
    <row r="584" ht="15.75" customHeight="1" spans="1:1">
      <c r="A584" s="9"/>
    </row>
    <row r="585" ht="15.75" customHeight="1" spans="1:1">
      <c r="A585" s="9"/>
    </row>
    <row r="586" ht="15.75" customHeight="1" spans="1:1">
      <c r="A586" s="9"/>
    </row>
    <row r="587" ht="15.75" customHeight="1" spans="1:1">
      <c r="A587" s="9"/>
    </row>
    <row r="588" ht="15.75" customHeight="1" spans="1:1">
      <c r="A588" s="9"/>
    </row>
    <row r="589" ht="15.75" customHeight="1" spans="1:1">
      <c r="A589" s="9"/>
    </row>
    <row r="590" ht="15.75" customHeight="1" spans="1:1">
      <c r="A590" s="9"/>
    </row>
    <row r="591" ht="15.75" customHeight="1" spans="1:1">
      <c r="A591" s="9"/>
    </row>
    <row r="592" ht="15.75" customHeight="1" spans="1:1">
      <c r="A592" s="9"/>
    </row>
    <row r="593" ht="15.75" customHeight="1" spans="1:1">
      <c r="A593" s="9"/>
    </row>
    <row r="594" ht="15.75" customHeight="1" spans="1:1">
      <c r="A594" s="9"/>
    </row>
    <row r="595" ht="15.75" customHeight="1" spans="1:1">
      <c r="A595" s="9"/>
    </row>
    <row r="596" ht="15.75" customHeight="1" spans="1:1">
      <c r="A596" s="9"/>
    </row>
    <row r="597" ht="15.75" customHeight="1" spans="1:1">
      <c r="A597" s="9"/>
    </row>
    <row r="598" ht="15.75" customHeight="1" spans="1:1">
      <c r="A598" s="9"/>
    </row>
    <row r="599" ht="15.75" customHeight="1" spans="1:1">
      <c r="A599" s="9"/>
    </row>
    <row r="600" ht="15.75" customHeight="1" spans="1:1">
      <c r="A600" s="9"/>
    </row>
    <row r="601" ht="15.75" customHeight="1" spans="1:1">
      <c r="A601" s="9"/>
    </row>
    <row r="602" ht="15.75" customHeight="1" spans="1:1">
      <c r="A602" s="9"/>
    </row>
    <row r="603" ht="15.75" customHeight="1" spans="1:1">
      <c r="A603" s="9"/>
    </row>
    <row r="604" ht="15.75" customHeight="1" spans="1:1">
      <c r="A604" s="9"/>
    </row>
    <row r="605" ht="15.75" customHeight="1" spans="1:1">
      <c r="A605" s="9"/>
    </row>
    <row r="606" ht="15.75" customHeight="1" spans="1:1">
      <c r="A606" s="9"/>
    </row>
    <row r="607" ht="15.75" customHeight="1" spans="1:1">
      <c r="A607" s="9"/>
    </row>
    <row r="608" ht="15.75" customHeight="1" spans="1:1">
      <c r="A608" s="9"/>
    </row>
    <row r="609" ht="15.75" customHeight="1" spans="1:1">
      <c r="A609" s="9"/>
    </row>
    <row r="610" ht="15.75" customHeight="1" spans="1:1">
      <c r="A610" s="9"/>
    </row>
    <row r="611" ht="15.75" customHeight="1" spans="1:1">
      <c r="A611" s="9"/>
    </row>
    <row r="612" ht="15.75" customHeight="1" spans="1:1">
      <c r="A612" s="9"/>
    </row>
    <row r="613" ht="15.75" customHeight="1" spans="1:1">
      <c r="A613" s="9"/>
    </row>
    <row r="614" ht="15.75" customHeight="1" spans="1:1">
      <c r="A614" s="9"/>
    </row>
    <row r="615" ht="15.75" customHeight="1" spans="1:1">
      <c r="A615" s="9"/>
    </row>
    <row r="616" ht="15.75" customHeight="1" spans="1:1">
      <c r="A616" s="9"/>
    </row>
    <row r="617" ht="15.75" customHeight="1" spans="1:1">
      <c r="A617" s="9"/>
    </row>
    <row r="618" ht="15.75" customHeight="1" spans="1:1">
      <c r="A618" s="9"/>
    </row>
    <row r="619" ht="15.75" customHeight="1" spans="1:1">
      <c r="A619" s="9"/>
    </row>
    <row r="620" ht="15.75" customHeight="1" spans="1:1">
      <c r="A620" s="9"/>
    </row>
    <row r="621" ht="15.75" customHeight="1" spans="1:1">
      <c r="A621" s="9"/>
    </row>
    <row r="622" ht="15.75" customHeight="1" spans="1:1">
      <c r="A622" s="9"/>
    </row>
    <row r="623" ht="15.75" customHeight="1" spans="1:1">
      <c r="A623" s="9"/>
    </row>
    <row r="624" ht="15.75" customHeight="1" spans="1:1">
      <c r="A624" s="9"/>
    </row>
    <row r="625" ht="15.75" customHeight="1" spans="1:1">
      <c r="A625" s="9"/>
    </row>
    <row r="626" ht="15.75" customHeight="1" spans="1:1">
      <c r="A626" s="9"/>
    </row>
    <row r="627" ht="15.75" customHeight="1" spans="1:1">
      <c r="A627" s="9"/>
    </row>
    <row r="628" ht="15.75" customHeight="1" spans="1:1">
      <c r="A628" s="9"/>
    </row>
    <row r="629" ht="15.75" customHeight="1" spans="1:1">
      <c r="A629" s="9"/>
    </row>
    <row r="630" ht="15.75" customHeight="1" spans="1:1">
      <c r="A630" s="9"/>
    </row>
    <row r="631" ht="15.75" customHeight="1" spans="1:1">
      <c r="A631" s="9"/>
    </row>
    <row r="632" ht="15.75" customHeight="1" spans="1:1">
      <c r="A632" s="9"/>
    </row>
    <row r="633" ht="15.75" customHeight="1" spans="1:1">
      <c r="A633" s="9"/>
    </row>
    <row r="634" ht="15.75" customHeight="1" spans="1:1">
      <c r="A634" s="9"/>
    </row>
    <row r="635" ht="15.75" customHeight="1" spans="1:1">
      <c r="A635" s="9"/>
    </row>
    <row r="636" ht="15.75" customHeight="1" spans="1:1">
      <c r="A636" s="9"/>
    </row>
    <row r="637" ht="15.75" customHeight="1" spans="1:1">
      <c r="A637" s="9"/>
    </row>
    <row r="638" ht="15.75" customHeight="1" spans="1:1">
      <c r="A638" s="9"/>
    </row>
    <row r="639" ht="15.75" customHeight="1" spans="1:1">
      <c r="A639" s="9"/>
    </row>
    <row r="640" ht="15.75" customHeight="1" spans="1:1">
      <c r="A640" s="9"/>
    </row>
    <row r="641" ht="15.75" customHeight="1" spans="1:1">
      <c r="A641" s="9"/>
    </row>
    <row r="642" ht="15.75" customHeight="1" spans="1:1">
      <c r="A642" s="9"/>
    </row>
    <row r="643" ht="15.75" customHeight="1" spans="1:1">
      <c r="A643" s="9"/>
    </row>
    <row r="644" ht="15.75" customHeight="1" spans="1:1">
      <c r="A644" s="9"/>
    </row>
    <row r="645" ht="15.75" customHeight="1" spans="1:1">
      <c r="A645" s="9"/>
    </row>
    <row r="646" ht="15.75" customHeight="1" spans="1:1">
      <c r="A646" s="9"/>
    </row>
    <row r="647" ht="15.75" customHeight="1" spans="1:1">
      <c r="A647" s="9"/>
    </row>
    <row r="648" ht="15.75" customHeight="1" spans="1:1">
      <c r="A648" s="9"/>
    </row>
    <row r="649" ht="15.75" customHeight="1" spans="1:1">
      <c r="A649" s="9"/>
    </row>
    <row r="650" ht="15.75" customHeight="1" spans="1:1">
      <c r="A650" s="9"/>
    </row>
    <row r="651" ht="15.75" customHeight="1" spans="1:1">
      <c r="A651" s="9"/>
    </row>
    <row r="652" ht="15.75" customHeight="1" spans="1:1">
      <c r="A652" s="9"/>
    </row>
    <row r="653" ht="15.75" customHeight="1" spans="1:1">
      <c r="A653" s="9"/>
    </row>
    <row r="654" ht="15.75" customHeight="1" spans="1:1">
      <c r="A654" s="9"/>
    </row>
    <row r="655" ht="15.75" customHeight="1" spans="1:1">
      <c r="A655" s="9"/>
    </row>
    <row r="656" ht="15.75" customHeight="1" spans="1:1">
      <c r="A656" s="9"/>
    </row>
    <row r="657" ht="15.75" customHeight="1" spans="1:1">
      <c r="A657" s="9"/>
    </row>
    <row r="658" ht="15.75" customHeight="1" spans="1:1">
      <c r="A658" s="9"/>
    </row>
    <row r="659" ht="15.75" customHeight="1" spans="1:1">
      <c r="A659" s="9"/>
    </row>
    <row r="660" ht="15.75" customHeight="1" spans="1:1">
      <c r="A660" s="9"/>
    </row>
    <row r="661" ht="15.75" customHeight="1" spans="1:1">
      <c r="A661" s="9"/>
    </row>
    <row r="662" ht="15.75" customHeight="1" spans="1:1">
      <c r="A662" s="9"/>
    </row>
    <row r="663" ht="15.75" customHeight="1" spans="1:1">
      <c r="A663" s="9"/>
    </row>
    <row r="664" ht="15.75" customHeight="1" spans="1:1">
      <c r="A664" s="9"/>
    </row>
    <row r="665" ht="15.75" customHeight="1" spans="1:1">
      <c r="A665" s="9"/>
    </row>
    <row r="666" ht="15.75" customHeight="1" spans="1:1">
      <c r="A666" s="9"/>
    </row>
    <row r="667" ht="15.75" customHeight="1" spans="1:1">
      <c r="A667" s="9"/>
    </row>
    <row r="668" ht="15.75" customHeight="1" spans="1:1">
      <c r="A668" s="9"/>
    </row>
    <row r="669" ht="15.75" customHeight="1" spans="1:1">
      <c r="A669" s="9"/>
    </row>
    <row r="670" ht="15.75" customHeight="1" spans="1:1">
      <c r="A670" s="9"/>
    </row>
    <row r="671" ht="15.75" customHeight="1" spans="1:1">
      <c r="A671" s="9"/>
    </row>
    <row r="672" ht="15.75" customHeight="1" spans="1:1">
      <c r="A672" s="9"/>
    </row>
    <row r="673" ht="15.75" customHeight="1" spans="1:1">
      <c r="A673" s="9"/>
    </row>
    <row r="674" ht="15.75" customHeight="1" spans="1:1">
      <c r="A674" s="9"/>
    </row>
    <row r="675" ht="15.75" customHeight="1" spans="1:1">
      <c r="A675" s="9"/>
    </row>
    <row r="676" ht="15.75" customHeight="1" spans="1:1">
      <c r="A676" s="9"/>
    </row>
    <row r="677" ht="15.75" customHeight="1" spans="1:1">
      <c r="A677" s="9"/>
    </row>
    <row r="678" ht="15.75" customHeight="1" spans="1:1">
      <c r="A678" s="9"/>
    </row>
    <row r="679" ht="15.75" customHeight="1" spans="1:1">
      <c r="A679" s="9"/>
    </row>
    <row r="680" ht="15.75" customHeight="1" spans="1:1">
      <c r="A680" s="9"/>
    </row>
    <row r="681" ht="15.75" customHeight="1" spans="1:1">
      <c r="A681" s="9"/>
    </row>
    <row r="682" ht="15.75" customHeight="1" spans="1:1">
      <c r="A682" s="9"/>
    </row>
    <row r="683" ht="15.75" customHeight="1" spans="1:1">
      <c r="A683" s="9"/>
    </row>
    <row r="684" ht="15.75" customHeight="1" spans="1:1">
      <c r="A684" s="9"/>
    </row>
    <row r="685" ht="15.75" customHeight="1" spans="1:1">
      <c r="A685" s="9"/>
    </row>
    <row r="686" ht="15.75" customHeight="1" spans="1:1">
      <c r="A686" s="9"/>
    </row>
    <row r="687" ht="15.75" customHeight="1" spans="1:1">
      <c r="A687" s="9"/>
    </row>
    <row r="688" ht="15.75" customHeight="1" spans="1:1">
      <c r="A688" s="9"/>
    </row>
    <row r="689" ht="15.75" customHeight="1" spans="1:1">
      <c r="A689" s="9"/>
    </row>
    <row r="690" ht="15.75" customHeight="1" spans="1:1">
      <c r="A690" s="9"/>
    </row>
    <row r="691" ht="15.75" customHeight="1" spans="1:1">
      <c r="A691" s="9"/>
    </row>
    <row r="692" ht="15.75" customHeight="1" spans="1:1">
      <c r="A692" s="9"/>
    </row>
    <row r="693" ht="15.75" customHeight="1" spans="1:1">
      <c r="A693" s="9"/>
    </row>
    <row r="694" ht="15.75" customHeight="1" spans="1:1">
      <c r="A694" s="9"/>
    </row>
    <row r="695" ht="15.75" customHeight="1" spans="1:1">
      <c r="A695" s="9"/>
    </row>
    <row r="696" ht="15.75" customHeight="1" spans="1:1">
      <c r="A696" s="9"/>
    </row>
    <row r="697" ht="15.75" customHeight="1" spans="1:1">
      <c r="A697" s="9"/>
    </row>
    <row r="698" ht="15.75" customHeight="1" spans="1:1">
      <c r="A698" s="9"/>
    </row>
    <row r="699" ht="15.75" customHeight="1" spans="1:1">
      <c r="A699" s="9"/>
    </row>
    <row r="700" ht="15.75" customHeight="1" spans="1:1">
      <c r="A700" s="9"/>
    </row>
    <row r="701" ht="15.75" customHeight="1" spans="1:1">
      <c r="A701" s="9"/>
    </row>
    <row r="702" ht="15.75" customHeight="1" spans="1:1">
      <c r="A702" s="9"/>
    </row>
    <row r="703" ht="15.75" customHeight="1" spans="1:1">
      <c r="A703" s="9"/>
    </row>
    <row r="704" ht="15.75" customHeight="1" spans="1:1">
      <c r="A704" s="9"/>
    </row>
    <row r="705" ht="15.75" customHeight="1" spans="1:1">
      <c r="A705" s="9"/>
    </row>
    <row r="706" ht="15.75" customHeight="1" spans="1:1">
      <c r="A706" s="9"/>
    </row>
    <row r="707" ht="15.75" customHeight="1" spans="1:1">
      <c r="A707" s="9"/>
    </row>
    <row r="708" ht="15.75" customHeight="1" spans="1:1">
      <c r="A708" s="9"/>
    </row>
    <row r="709" ht="15.75" customHeight="1" spans="1:1">
      <c r="A709" s="9"/>
    </row>
    <row r="710" ht="15.75" customHeight="1" spans="1:1">
      <c r="A710" s="9"/>
    </row>
    <row r="711" ht="15.75" customHeight="1" spans="1:1">
      <c r="A711" s="9"/>
    </row>
    <row r="712" ht="15.75" customHeight="1" spans="1:1">
      <c r="A712" s="9"/>
    </row>
    <row r="713" ht="15.75" customHeight="1" spans="1:1">
      <c r="A713" s="9"/>
    </row>
    <row r="714" ht="15.75" customHeight="1" spans="1:1">
      <c r="A714" s="9"/>
    </row>
    <row r="715" ht="15.75" customHeight="1" spans="1:1">
      <c r="A715" s="9"/>
    </row>
    <row r="716" ht="15.75" customHeight="1" spans="1:1">
      <c r="A716" s="9"/>
    </row>
    <row r="717" ht="15.75" customHeight="1" spans="1:1">
      <c r="A717" s="9"/>
    </row>
    <row r="718" ht="15.75" customHeight="1" spans="1:1">
      <c r="A718" s="9"/>
    </row>
    <row r="719" ht="15.75" customHeight="1" spans="1:1">
      <c r="A719" s="9"/>
    </row>
    <row r="720" ht="15.75" customHeight="1" spans="1:1">
      <c r="A720" s="9"/>
    </row>
    <row r="721" ht="15.75" customHeight="1" spans="1:1">
      <c r="A721" s="9"/>
    </row>
    <row r="722" ht="15.75" customHeight="1" spans="1:1">
      <c r="A722" s="9"/>
    </row>
    <row r="723" ht="15.75" customHeight="1" spans="1:1">
      <c r="A723" s="9"/>
    </row>
    <row r="724" ht="15.75" customHeight="1" spans="1:1">
      <c r="A724" s="9"/>
    </row>
    <row r="725" ht="15.75" customHeight="1" spans="1:1">
      <c r="A725" s="9"/>
    </row>
    <row r="726" ht="15.75" customHeight="1" spans="1:1">
      <c r="A726" s="9"/>
    </row>
    <row r="727" ht="15.75" customHeight="1" spans="1:1">
      <c r="A727" s="9"/>
    </row>
    <row r="728" ht="15.75" customHeight="1" spans="1:1">
      <c r="A728" s="9"/>
    </row>
    <row r="729" ht="15.75" customHeight="1" spans="1:1">
      <c r="A729" s="9"/>
    </row>
    <row r="730" ht="15.75" customHeight="1" spans="1:1">
      <c r="A730" s="9"/>
    </row>
    <row r="731" ht="15.75" customHeight="1" spans="1:1">
      <c r="A731" s="9"/>
    </row>
    <row r="732" ht="15.75" customHeight="1" spans="1:1">
      <c r="A732" s="9"/>
    </row>
    <row r="733" ht="15.75" customHeight="1" spans="1:1">
      <c r="A733" s="9"/>
    </row>
    <row r="734" ht="15.75" customHeight="1" spans="1:1">
      <c r="A734" s="9"/>
    </row>
    <row r="735" ht="15.75" customHeight="1" spans="1:1">
      <c r="A735" s="9"/>
    </row>
    <row r="736" ht="15.75" customHeight="1" spans="1:1">
      <c r="A736" s="9"/>
    </row>
    <row r="737" ht="15.75" customHeight="1" spans="1:1">
      <c r="A737" s="9"/>
    </row>
    <row r="738" ht="15.75" customHeight="1" spans="1:1">
      <c r="A738" s="9"/>
    </row>
    <row r="739" ht="15.75" customHeight="1" spans="1:1">
      <c r="A739" s="9"/>
    </row>
    <row r="740" ht="15.75" customHeight="1" spans="1:1">
      <c r="A740" s="9"/>
    </row>
    <row r="741" ht="15.75" customHeight="1" spans="1:1">
      <c r="A741" s="9"/>
    </row>
    <row r="742" ht="15.75" customHeight="1" spans="1:1">
      <c r="A742" s="9"/>
    </row>
    <row r="743" ht="15.75" customHeight="1" spans="1:1">
      <c r="A743" s="9"/>
    </row>
    <row r="744" ht="15.75" customHeight="1" spans="1:1">
      <c r="A744" s="9"/>
    </row>
    <row r="745" ht="15.75" customHeight="1" spans="1:1">
      <c r="A745" s="9"/>
    </row>
    <row r="746" ht="15.75" customHeight="1" spans="1:1">
      <c r="A746" s="9"/>
    </row>
    <row r="747" ht="15.75" customHeight="1" spans="1:1">
      <c r="A747" s="9"/>
    </row>
    <row r="748" ht="15.75" customHeight="1" spans="1:1">
      <c r="A748" s="9"/>
    </row>
    <row r="749" ht="15.75" customHeight="1" spans="1:1">
      <c r="A749" s="9"/>
    </row>
    <row r="750" ht="15.75" customHeight="1" spans="1:1">
      <c r="A750" s="9"/>
    </row>
    <row r="751" ht="15.75" customHeight="1" spans="1:1">
      <c r="A751" s="9"/>
    </row>
    <row r="752" ht="15.75" customHeight="1" spans="1:1">
      <c r="A752" s="9"/>
    </row>
    <row r="753" ht="15.75" customHeight="1" spans="1:1">
      <c r="A753" s="9"/>
    </row>
    <row r="754" ht="15.75" customHeight="1" spans="1:1">
      <c r="A754" s="9"/>
    </row>
    <row r="755" ht="15.75" customHeight="1" spans="1:1">
      <c r="A755" s="9"/>
    </row>
    <row r="756" ht="15.75" customHeight="1" spans="1:1">
      <c r="A756" s="9"/>
    </row>
    <row r="757" ht="15.75" customHeight="1" spans="1:1">
      <c r="A757" s="9"/>
    </row>
    <row r="758" ht="15.75" customHeight="1" spans="1:1">
      <c r="A758" s="9"/>
    </row>
    <row r="759" ht="15.75" customHeight="1" spans="1:1">
      <c r="A759" s="9"/>
    </row>
    <row r="760" ht="15.75" customHeight="1" spans="1:1">
      <c r="A760" s="9"/>
    </row>
    <row r="761" ht="15.75" customHeight="1" spans="1:1">
      <c r="A761" s="9"/>
    </row>
    <row r="762" ht="15.75" customHeight="1" spans="1:1">
      <c r="A762" s="9"/>
    </row>
    <row r="763" ht="15.75" customHeight="1" spans="1:1">
      <c r="A763" s="9"/>
    </row>
    <row r="764" ht="15.75" customHeight="1" spans="1:1">
      <c r="A764" s="9"/>
    </row>
    <row r="765" ht="15.75" customHeight="1" spans="1:1">
      <c r="A765" s="9"/>
    </row>
    <row r="766" ht="15.75" customHeight="1" spans="1:1">
      <c r="A766" s="9"/>
    </row>
    <row r="767" ht="15.75" customHeight="1" spans="1:1">
      <c r="A767" s="9"/>
    </row>
    <row r="768" ht="15.75" customHeight="1" spans="1:1">
      <c r="A768" s="9"/>
    </row>
    <row r="769" ht="15.75" customHeight="1" spans="1:1">
      <c r="A769" s="9"/>
    </row>
    <row r="770" ht="15.75" customHeight="1" spans="1:1">
      <c r="A770" s="9"/>
    </row>
    <row r="771" ht="15.75" customHeight="1" spans="1:1">
      <c r="A771" s="9"/>
    </row>
    <row r="772" ht="15.75" customHeight="1" spans="1:1">
      <c r="A772" s="9"/>
    </row>
    <row r="773" ht="15.75" customHeight="1" spans="1:1">
      <c r="A773" s="9"/>
    </row>
    <row r="774" ht="15.75" customHeight="1" spans="1:1">
      <c r="A774" s="9"/>
    </row>
    <row r="775" ht="15.75" customHeight="1" spans="1:1">
      <c r="A775" s="9"/>
    </row>
    <row r="776" ht="15.75" customHeight="1" spans="1:1">
      <c r="A776" s="9"/>
    </row>
    <row r="777" ht="15.75" customHeight="1" spans="1:1">
      <c r="A777" s="9"/>
    </row>
    <row r="778" ht="15.75" customHeight="1" spans="1:1">
      <c r="A778" s="9"/>
    </row>
    <row r="779" ht="15.75" customHeight="1" spans="1:1">
      <c r="A779" s="9"/>
    </row>
    <row r="780" ht="15.75" customHeight="1" spans="1:1">
      <c r="A780" s="9"/>
    </row>
    <row r="781" ht="15.75" customHeight="1" spans="1:1">
      <c r="A781" s="9"/>
    </row>
    <row r="782" ht="15.75" customHeight="1" spans="1:1">
      <c r="A782" s="9"/>
    </row>
    <row r="783" ht="15.75" customHeight="1" spans="1:1">
      <c r="A783" s="9"/>
    </row>
    <row r="784" ht="15.75" customHeight="1" spans="1:1">
      <c r="A784" s="9"/>
    </row>
    <row r="785" ht="15.75" customHeight="1" spans="1:1">
      <c r="A785" s="9"/>
    </row>
    <row r="786" ht="15.75" customHeight="1" spans="1:1">
      <c r="A786" s="9"/>
    </row>
    <row r="787" ht="15.75" customHeight="1" spans="1:1">
      <c r="A787" s="9"/>
    </row>
    <row r="788" ht="15.75" customHeight="1" spans="1:1">
      <c r="A788" s="9"/>
    </row>
    <row r="789" ht="15.75" customHeight="1" spans="1:1">
      <c r="A789" s="9"/>
    </row>
    <row r="790" ht="15.75" customHeight="1" spans="1:1">
      <c r="A790" s="9"/>
    </row>
    <row r="791" ht="15.75" customHeight="1" spans="1:1">
      <c r="A791" s="9"/>
    </row>
    <row r="792" ht="15.75" customHeight="1" spans="1:1">
      <c r="A792" s="9"/>
    </row>
    <row r="793" ht="15.75" customHeight="1" spans="1:1">
      <c r="A793" s="9"/>
    </row>
    <row r="794" ht="15.75" customHeight="1" spans="1:1">
      <c r="A794" s="9"/>
    </row>
    <row r="795" ht="15.75" customHeight="1" spans="1:1">
      <c r="A795" s="9"/>
    </row>
    <row r="796" ht="15.75" customHeight="1" spans="1:1">
      <c r="A796" s="9"/>
    </row>
    <row r="797" ht="15.75" customHeight="1" spans="1:1">
      <c r="A797" s="9"/>
    </row>
    <row r="798" ht="15.75" customHeight="1" spans="1:1">
      <c r="A798" s="9"/>
    </row>
    <row r="799" ht="15.75" customHeight="1" spans="1:1">
      <c r="A799" s="9"/>
    </row>
    <row r="800" ht="15.75" customHeight="1" spans="1:1">
      <c r="A800" s="9"/>
    </row>
    <row r="801" ht="15.75" customHeight="1" spans="1:1">
      <c r="A801" s="9"/>
    </row>
    <row r="802" ht="15.75" customHeight="1" spans="1:1">
      <c r="A802" s="9"/>
    </row>
    <row r="803" ht="15.75" customHeight="1" spans="1:1">
      <c r="A803" s="9"/>
    </row>
    <row r="804" ht="15.75" customHeight="1" spans="1:1">
      <c r="A804" s="9"/>
    </row>
    <row r="805" ht="15.75" customHeight="1" spans="1:1">
      <c r="A805" s="9"/>
    </row>
    <row r="806" ht="15.75" customHeight="1" spans="1:1">
      <c r="A806" s="9"/>
    </row>
    <row r="807" ht="15.75" customHeight="1" spans="1:1">
      <c r="A807" s="9"/>
    </row>
    <row r="808" ht="15.75" customHeight="1" spans="1:1">
      <c r="A808" s="9"/>
    </row>
    <row r="809" ht="15.75" customHeight="1" spans="1:1">
      <c r="A809" s="9"/>
    </row>
    <row r="810" ht="15.75" customHeight="1" spans="1:1">
      <c r="A810" s="9"/>
    </row>
    <row r="811" ht="15.75" customHeight="1" spans="1:1">
      <c r="A811" s="9"/>
    </row>
    <row r="812" ht="15.75" customHeight="1" spans="1:1">
      <c r="A812" s="9"/>
    </row>
    <row r="813" ht="15.75" customHeight="1" spans="1:1">
      <c r="A813" s="9"/>
    </row>
    <row r="814" ht="15.75" customHeight="1" spans="1:1">
      <c r="A814" s="9"/>
    </row>
    <row r="815" ht="15.75" customHeight="1" spans="1:1">
      <c r="A815" s="9"/>
    </row>
    <row r="816" ht="15.75" customHeight="1" spans="1:1">
      <c r="A816" s="9"/>
    </row>
    <row r="817" ht="15.75" customHeight="1" spans="1:1">
      <c r="A817" s="9"/>
    </row>
    <row r="818" ht="15.75" customHeight="1" spans="1:1">
      <c r="A818" s="9"/>
    </row>
    <row r="819" ht="15.75" customHeight="1" spans="1:1">
      <c r="A819" s="9"/>
    </row>
    <row r="820" ht="15.75" customHeight="1" spans="1:1">
      <c r="A820" s="9"/>
    </row>
    <row r="821" ht="15.75" customHeight="1" spans="1:1">
      <c r="A821" s="9"/>
    </row>
    <row r="822" ht="15.75" customHeight="1" spans="1:1">
      <c r="A822" s="9"/>
    </row>
    <row r="823" ht="15.75" customHeight="1" spans="1:1">
      <c r="A823" s="9"/>
    </row>
    <row r="824" ht="15.75" customHeight="1" spans="1:1">
      <c r="A824" s="9"/>
    </row>
    <row r="825" ht="15.75" customHeight="1" spans="1:1">
      <c r="A825" s="9"/>
    </row>
    <row r="826" ht="15.75" customHeight="1" spans="1:1">
      <c r="A826" s="9"/>
    </row>
    <row r="827" ht="15.75" customHeight="1" spans="1:1">
      <c r="A827" s="9"/>
    </row>
    <row r="828" ht="15.75" customHeight="1" spans="1:1">
      <c r="A828" s="9"/>
    </row>
    <row r="829" ht="15.75" customHeight="1" spans="1:1">
      <c r="A829" s="9"/>
    </row>
    <row r="830" ht="15.75" customHeight="1" spans="1:1">
      <c r="A830" s="9"/>
    </row>
    <row r="831" ht="15.75" customHeight="1" spans="1:1">
      <c r="A831" s="9"/>
    </row>
    <row r="832" ht="15.75" customHeight="1" spans="1:1">
      <c r="A832" s="9"/>
    </row>
    <row r="833" ht="15.75" customHeight="1" spans="1:1">
      <c r="A833" s="9"/>
    </row>
    <row r="834" ht="15.75" customHeight="1" spans="1:1">
      <c r="A834" s="9"/>
    </row>
    <row r="835" ht="15.75" customHeight="1" spans="1:1">
      <c r="A835" s="9"/>
    </row>
    <row r="836" ht="15.75" customHeight="1" spans="1:1">
      <c r="A836" s="9"/>
    </row>
    <row r="837" ht="15.75" customHeight="1" spans="1:1">
      <c r="A837" s="9"/>
    </row>
    <row r="838" ht="15.75" customHeight="1" spans="1:1">
      <c r="A838" s="9"/>
    </row>
    <row r="839" ht="15.75" customHeight="1" spans="1:1">
      <c r="A839" s="9"/>
    </row>
    <row r="840" ht="15.75" customHeight="1" spans="1:1">
      <c r="A840" s="9"/>
    </row>
    <row r="841" ht="15.75" customHeight="1" spans="1:1">
      <c r="A841" s="9"/>
    </row>
    <row r="842" ht="15.75" customHeight="1" spans="1:1">
      <c r="A842" s="9"/>
    </row>
    <row r="843" ht="15.75" customHeight="1" spans="1:1">
      <c r="A843" s="9"/>
    </row>
    <row r="844" ht="15.75" customHeight="1" spans="1:1">
      <c r="A844" s="9"/>
    </row>
    <row r="845" ht="15.75" customHeight="1" spans="1:1">
      <c r="A845" s="9"/>
    </row>
    <row r="846" ht="15.75" customHeight="1" spans="1:1">
      <c r="A846" s="9"/>
    </row>
    <row r="847" ht="15.75" customHeight="1" spans="1:1">
      <c r="A847" s="9"/>
    </row>
    <row r="848" ht="15.75" customHeight="1" spans="1:1">
      <c r="A848" s="9"/>
    </row>
    <row r="849" ht="15.75" customHeight="1" spans="1:1">
      <c r="A849" s="9"/>
    </row>
    <row r="850" ht="15.75" customHeight="1" spans="1:1">
      <c r="A850" s="9"/>
    </row>
    <row r="851" ht="15.75" customHeight="1" spans="1:1">
      <c r="A851" s="9"/>
    </row>
    <row r="852" ht="15.75" customHeight="1" spans="1:1">
      <c r="A852" s="9"/>
    </row>
    <row r="853" ht="15.75" customHeight="1" spans="1:1">
      <c r="A853" s="9"/>
    </row>
    <row r="854" ht="15.75" customHeight="1" spans="1:1">
      <c r="A854" s="9"/>
    </row>
    <row r="855" ht="15.75" customHeight="1" spans="1:1">
      <c r="A855" s="9"/>
    </row>
    <row r="856" ht="15.75" customHeight="1" spans="1:1">
      <c r="A856" s="9"/>
    </row>
    <row r="857" ht="15.75" customHeight="1" spans="1:1">
      <c r="A857" s="9"/>
    </row>
    <row r="858" ht="15.75" customHeight="1" spans="1:1">
      <c r="A858" s="9"/>
    </row>
    <row r="859" ht="15.75" customHeight="1" spans="1:1">
      <c r="A859" s="9"/>
    </row>
    <row r="860" ht="15.75" customHeight="1" spans="1:1">
      <c r="A860" s="9"/>
    </row>
    <row r="861" ht="15.75" customHeight="1" spans="1:1">
      <c r="A861" s="9"/>
    </row>
    <row r="862" ht="15.75" customHeight="1" spans="1:1">
      <c r="A862" s="9"/>
    </row>
    <row r="863" ht="15.75" customHeight="1" spans="1:1">
      <c r="A863" s="9"/>
    </row>
    <row r="864" ht="15.75" customHeight="1" spans="1:1">
      <c r="A864" s="9"/>
    </row>
    <row r="865" ht="15.75" customHeight="1" spans="1:1">
      <c r="A865" s="9"/>
    </row>
    <row r="866" ht="15.75" customHeight="1" spans="1:1">
      <c r="A866" s="9"/>
    </row>
    <row r="867" ht="15.75" customHeight="1" spans="1:1">
      <c r="A867" s="9"/>
    </row>
    <row r="868" ht="15.75" customHeight="1" spans="1:1">
      <c r="A868" s="9"/>
    </row>
    <row r="869" ht="15.75" customHeight="1" spans="1:1">
      <c r="A869" s="9"/>
    </row>
    <row r="870" ht="15.75" customHeight="1" spans="1:1">
      <c r="A870" s="9"/>
    </row>
    <row r="871" ht="15.75" customHeight="1" spans="1:1">
      <c r="A871" s="9"/>
    </row>
    <row r="872" ht="15.75" customHeight="1" spans="1:1">
      <c r="A872" s="9"/>
    </row>
    <row r="873" ht="15.75" customHeight="1" spans="1:1">
      <c r="A873" s="9"/>
    </row>
    <row r="874" ht="15.75" customHeight="1" spans="1:1">
      <c r="A874" s="9"/>
    </row>
    <row r="875" ht="15.75" customHeight="1" spans="1:1">
      <c r="A875" s="9"/>
    </row>
    <row r="876" ht="15.75" customHeight="1" spans="1:1">
      <c r="A876" s="9"/>
    </row>
    <row r="877" ht="15.75" customHeight="1" spans="1:1">
      <c r="A877" s="9"/>
    </row>
    <row r="878" ht="15.75" customHeight="1" spans="1:1">
      <c r="A878" s="9"/>
    </row>
    <row r="879" ht="15.75" customHeight="1" spans="1:1">
      <c r="A879" s="9"/>
    </row>
    <row r="880" ht="15.75" customHeight="1" spans="1:1">
      <c r="A880" s="9"/>
    </row>
    <row r="881" ht="15.75" customHeight="1" spans="1:1">
      <c r="A881" s="9"/>
    </row>
    <row r="882" ht="15.75" customHeight="1" spans="1:1">
      <c r="A882" s="9"/>
    </row>
    <row r="883" ht="15.75" customHeight="1" spans="1:1">
      <c r="A883" s="9"/>
    </row>
    <row r="884" ht="15.75" customHeight="1" spans="1:1">
      <c r="A884" s="9"/>
    </row>
    <row r="885" ht="15.75" customHeight="1" spans="1:1">
      <c r="A885" s="9"/>
    </row>
    <row r="886" ht="15.75" customHeight="1" spans="1:1">
      <c r="A886" s="9"/>
    </row>
    <row r="887" ht="15.75" customHeight="1" spans="1:1">
      <c r="A887" s="9"/>
    </row>
    <row r="888" ht="15.75" customHeight="1" spans="1:1">
      <c r="A888" s="9"/>
    </row>
    <row r="889" ht="15.75" customHeight="1" spans="1:1">
      <c r="A889" s="9"/>
    </row>
    <row r="890" ht="15.75" customHeight="1" spans="1:1">
      <c r="A890" s="9"/>
    </row>
    <row r="891" ht="15.75" customHeight="1" spans="1:1">
      <c r="A891" s="9"/>
    </row>
    <row r="892" ht="15.75" customHeight="1" spans="1:1">
      <c r="A892" s="9"/>
    </row>
    <row r="893" ht="15.75" customHeight="1" spans="1:1">
      <c r="A893" s="9"/>
    </row>
    <row r="894" ht="15.75" customHeight="1" spans="1:1">
      <c r="A894" s="9"/>
    </row>
    <row r="895" ht="15.75" customHeight="1" spans="1:1">
      <c r="A895" s="9"/>
    </row>
    <row r="896" ht="15.75" customHeight="1" spans="1:1">
      <c r="A896" s="9"/>
    </row>
    <row r="897" ht="15.75" customHeight="1" spans="1:1">
      <c r="A897" s="9"/>
    </row>
    <row r="898" ht="15.75" customHeight="1" spans="1:1">
      <c r="A898" s="9"/>
    </row>
    <row r="899" ht="15.75" customHeight="1" spans="1:1">
      <c r="A899" s="9"/>
    </row>
    <row r="900" ht="15.75" customHeight="1" spans="1:1">
      <c r="A900" s="9"/>
    </row>
    <row r="901" ht="15.75" customHeight="1" spans="1:1">
      <c r="A901" s="9"/>
    </row>
    <row r="902" ht="15.75" customHeight="1" spans="1:1">
      <c r="A902" s="9"/>
    </row>
    <row r="903" ht="15.75" customHeight="1" spans="1:1">
      <c r="A903" s="9"/>
    </row>
    <row r="904" ht="15.75" customHeight="1" spans="1:1">
      <c r="A904" s="9"/>
    </row>
    <row r="905" ht="15.75" customHeight="1" spans="1:1">
      <c r="A905" s="9"/>
    </row>
    <row r="906" ht="15.75" customHeight="1" spans="1:1">
      <c r="A906" s="9"/>
    </row>
    <row r="907" ht="15.75" customHeight="1" spans="1:1">
      <c r="A907" s="9"/>
    </row>
    <row r="908" ht="15.75" customHeight="1" spans="1:1">
      <c r="A908" s="9"/>
    </row>
    <row r="909" ht="15.75" customHeight="1" spans="1:1">
      <c r="A909" s="9"/>
    </row>
    <row r="910" ht="15.75" customHeight="1" spans="1:1">
      <c r="A910" s="9"/>
    </row>
    <row r="911" ht="15.75" customHeight="1" spans="1:1">
      <c r="A911" s="9"/>
    </row>
    <row r="912" ht="15.75" customHeight="1" spans="1:1">
      <c r="A912" s="9"/>
    </row>
    <row r="913" ht="15.75" customHeight="1" spans="1:1">
      <c r="A913" s="9"/>
    </row>
    <row r="914" ht="15.75" customHeight="1" spans="1:1">
      <c r="A914" s="9"/>
    </row>
    <row r="915" ht="15.75" customHeight="1" spans="1:1">
      <c r="A915" s="9"/>
    </row>
    <row r="916" ht="15.75" customHeight="1" spans="1:1">
      <c r="A916" s="9"/>
    </row>
    <row r="917" ht="15.75" customHeight="1" spans="1:1">
      <c r="A917" s="9"/>
    </row>
    <row r="918" ht="15.75" customHeight="1" spans="1:1">
      <c r="A918" s="9"/>
    </row>
    <row r="919" ht="15.75" customHeight="1" spans="1:1">
      <c r="A919" s="9"/>
    </row>
    <row r="920" ht="15.75" customHeight="1" spans="1:1">
      <c r="A920" s="9"/>
    </row>
    <row r="921" ht="15.75" customHeight="1" spans="1:1">
      <c r="A921" s="9"/>
    </row>
    <row r="922" ht="15.75" customHeight="1" spans="1:1">
      <c r="A922" s="9"/>
    </row>
    <row r="923" ht="15.75" customHeight="1" spans="1:1">
      <c r="A923" s="9"/>
    </row>
    <row r="924" ht="15.75" customHeight="1" spans="1:1">
      <c r="A924" s="9"/>
    </row>
    <row r="925" ht="15.75" customHeight="1" spans="1:1">
      <c r="A925" s="9"/>
    </row>
    <row r="926" ht="15.75" customHeight="1" spans="1:1">
      <c r="A926" s="9"/>
    </row>
    <row r="927" ht="15.75" customHeight="1" spans="1:1">
      <c r="A927" s="9"/>
    </row>
    <row r="928" ht="15.75" customHeight="1" spans="1:1">
      <c r="A928" s="9"/>
    </row>
    <row r="929" ht="15.75" customHeight="1" spans="1:1">
      <c r="A929" s="9"/>
    </row>
    <row r="930" ht="15.75" customHeight="1" spans="1:1">
      <c r="A930" s="9"/>
    </row>
    <row r="931" ht="15.75" customHeight="1" spans="1:1">
      <c r="A931" s="9"/>
    </row>
    <row r="932" ht="15.75" customHeight="1" spans="1:1">
      <c r="A932" s="9"/>
    </row>
    <row r="933" ht="15.75" customHeight="1" spans="1:1">
      <c r="A933" s="9"/>
    </row>
    <row r="934" ht="15.75" customHeight="1" spans="1:1">
      <c r="A934" s="9"/>
    </row>
    <row r="935" ht="15.75" customHeight="1" spans="1:1">
      <c r="A935" s="9"/>
    </row>
    <row r="936" ht="15.75" customHeight="1" spans="1:1">
      <c r="A936" s="9"/>
    </row>
    <row r="937" ht="15.75" customHeight="1" spans="1:1">
      <c r="A937" s="9"/>
    </row>
    <row r="938" ht="15.75" customHeight="1" spans="1:1">
      <c r="A938" s="9"/>
    </row>
    <row r="939" ht="15.75" customHeight="1" spans="1:1">
      <c r="A939" s="9"/>
    </row>
    <row r="940" ht="15.75" customHeight="1" spans="1:1">
      <c r="A940" s="9"/>
    </row>
    <row r="941" ht="15.75" customHeight="1" spans="1:1">
      <c r="A941" s="9"/>
    </row>
    <row r="942" ht="15.75" customHeight="1" spans="1:1">
      <c r="A942" s="9"/>
    </row>
    <row r="943" ht="15.75" customHeight="1" spans="1:1">
      <c r="A943" s="9"/>
    </row>
    <row r="944" ht="15.75" customHeight="1" spans="1:1">
      <c r="A944" s="9"/>
    </row>
    <row r="945" ht="15.75" customHeight="1" spans="1:1">
      <c r="A945" s="9"/>
    </row>
    <row r="946" ht="15.75" customHeight="1" spans="1:1">
      <c r="A946" s="9"/>
    </row>
    <row r="947" ht="15.75" customHeight="1" spans="1:1">
      <c r="A947" s="9"/>
    </row>
    <row r="948" ht="15.75" customHeight="1" spans="1:1">
      <c r="A948" s="9"/>
    </row>
    <row r="949" ht="15.75" customHeight="1" spans="1:1">
      <c r="A949" s="9"/>
    </row>
    <row r="950" ht="15.75" customHeight="1" spans="1:1">
      <c r="A950" s="9"/>
    </row>
    <row r="951" ht="15.75" customHeight="1" spans="1:1">
      <c r="A951" s="9"/>
    </row>
    <row r="952" ht="15.75" customHeight="1" spans="1:1">
      <c r="A952" s="9"/>
    </row>
    <row r="953" ht="15.75" customHeight="1" spans="1:1">
      <c r="A953" s="9"/>
    </row>
    <row r="954" ht="15.75" customHeight="1" spans="1:1">
      <c r="A954" s="9"/>
    </row>
    <row r="955" ht="15.75" customHeight="1" spans="1:1">
      <c r="A955" s="9"/>
    </row>
    <row r="956" ht="15.75" customHeight="1" spans="1:1">
      <c r="A956" s="9"/>
    </row>
    <row r="957" ht="15.75" customHeight="1" spans="1:1">
      <c r="A957" s="9"/>
    </row>
    <row r="958" ht="15.75" customHeight="1" spans="1:1">
      <c r="A958" s="9"/>
    </row>
    <row r="959" ht="15.75" customHeight="1" spans="1:1">
      <c r="A959" s="9"/>
    </row>
    <row r="960" ht="15.75" customHeight="1" spans="1:1">
      <c r="A960" s="9"/>
    </row>
    <row r="961" ht="15.75" customHeight="1" spans="1:1">
      <c r="A961" s="9"/>
    </row>
    <row r="962" ht="15.75" customHeight="1" spans="1:1">
      <c r="A962" s="9"/>
    </row>
    <row r="963" ht="15.75" customHeight="1" spans="1:1">
      <c r="A963" s="9"/>
    </row>
    <row r="964" ht="15.75" customHeight="1" spans="1:1">
      <c r="A964" s="9"/>
    </row>
    <row r="965" ht="15.75" customHeight="1" spans="1:1">
      <c r="A965" s="9"/>
    </row>
    <row r="966" ht="15.75" customHeight="1" spans="1:1">
      <c r="A966" s="9"/>
    </row>
    <row r="967" ht="15.75" customHeight="1" spans="1:1">
      <c r="A967" s="9"/>
    </row>
    <row r="968" ht="15.75" customHeight="1" spans="1:1">
      <c r="A968" s="9"/>
    </row>
    <row r="969" ht="15.75" customHeight="1" spans="1:1">
      <c r="A969" s="9"/>
    </row>
    <row r="970" ht="15.75" customHeight="1" spans="1:1">
      <c r="A970" s="9"/>
    </row>
    <row r="971" ht="15.75" customHeight="1" spans="1:1">
      <c r="A971" s="9"/>
    </row>
    <row r="972" ht="15.75" customHeight="1" spans="1:1">
      <c r="A972" s="9"/>
    </row>
    <row r="973" ht="15.75" customHeight="1" spans="1:1">
      <c r="A973" s="9"/>
    </row>
    <row r="974" ht="15.75" customHeight="1" spans="1:1">
      <c r="A974" s="9"/>
    </row>
    <row r="975" ht="15.75" customHeight="1" spans="1:1">
      <c r="A975" s="9"/>
    </row>
    <row r="976" ht="15.75" customHeight="1" spans="1:1">
      <c r="A976" s="9"/>
    </row>
    <row r="977" ht="15.75" customHeight="1" spans="1:1">
      <c r="A977" s="9"/>
    </row>
    <row r="978" ht="15.75" customHeight="1" spans="1:1">
      <c r="A978" s="9"/>
    </row>
    <row r="979" ht="15.75" customHeight="1" spans="1:1">
      <c r="A979" s="9"/>
    </row>
    <row r="980" ht="15.75" customHeight="1" spans="1:1">
      <c r="A980" s="9"/>
    </row>
    <row r="981" ht="15.75" customHeight="1" spans="1:1">
      <c r="A981" s="9"/>
    </row>
    <row r="982" ht="15.75" customHeight="1" spans="1:1">
      <c r="A982" s="9"/>
    </row>
    <row r="983" ht="15.75" customHeight="1" spans="1:1">
      <c r="A983" s="9"/>
    </row>
    <row r="984" ht="15.75" customHeight="1" spans="1:1">
      <c r="A984" s="9"/>
    </row>
    <row r="985" ht="15.75" customHeight="1" spans="1:1">
      <c r="A985" s="9"/>
    </row>
    <row r="986" ht="15.75" customHeight="1" spans="1:1">
      <c r="A986" s="9"/>
    </row>
    <row r="987" ht="15.75" customHeight="1" spans="1:1">
      <c r="A987" s="9"/>
    </row>
    <row r="988" ht="15.75" customHeight="1" spans="1:1">
      <c r="A988" s="9"/>
    </row>
    <row r="989" ht="15.75" customHeight="1" spans="1:1">
      <c r="A989" s="9"/>
    </row>
    <row r="990" ht="15.75" customHeight="1" spans="1:1">
      <c r="A990" s="9"/>
    </row>
    <row r="991" ht="15.75" customHeight="1" spans="1:1">
      <c r="A991" s="9"/>
    </row>
    <row r="992" ht="15.75" customHeight="1" spans="1:1">
      <c r="A992" s="9"/>
    </row>
    <row r="993" ht="15.75" customHeight="1" spans="1:1">
      <c r="A993" s="9"/>
    </row>
    <row r="994" ht="15.75" customHeight="1" spans="1:1">
      <c r="A994" s="9"/>
    </row>
    <row r="995" ht="15.75" customHeight="1" spans="1:1">
      <c r="A995" s="9"/>
    </row>
    <row r="996" ht="15.75" customHeight="1" spans="1:1">
      <c r="A996" s="9"/>
    </row>
    <row r="997" ht="15.75" customHeight="1" spans="1:1">
      <c r="A997" s="9"/>
    </row>
    <row r="998" ht="15.75" customHeight="1" spans="1:1">
      <c r="A998" s="9"/>
    </row>
    <row r="999" ht="15.75" customHeight="1" spans="1:1">
      <c r="A999" s="9"/>
    </row>
    <row r="1000" ht="15.75" customHeight="1" spans="1:1">
      <c r="A1000" s="9"/>
    </row>
  </sheetData>
  <pageMargins left="0.75" right="0.75" top="1" bottom="1" header="0" footer="0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workbookViewId="0">
      <selection activeCell="A1" sqref="A1"/>
    </sheetView>
  </sheetViews>
  <sheetFormatPr defaultColWidth="14.4296875" defaultRowHeight="15" customHeight="1"/>
  <cols>
    <col min="1" max="1" width="14" customWidth="1"/>
    <col min="2" max="2" width="24" customWidth="1"/>
    <col min="3" max="3" width="16" customWidth="1"/>
    <col min="4" max="26" width="8.7109375" customWidth="1"/>
  </cols>
  <sheetData>
    <row r="1" customHeight="1" spans="1:13">
      <c r="A1" s="1" t="s">
        <v>208</v>
      </c>
      <c r="B1" s="1" t="s">
        <v>209</v>
      </c>
      <c r="C1" s="1" t="s">
        <v>210</v>
      </c>
      <c r="D1" s="17"/>
      <c r="E1" s="18" t="s">
        <v>211</v>
      </c>
      <c r="F1" s="17"/>
      <c r="G1" s="17"/>
      <c r="H1" s="17"/>
      <c r="I1" s="17"/>
      <c r="J1" s="17"/>
      <c r="K1" s="17"/>
      <c r="L1" s="17"/>
      <c r="M1" s="17"/>
    </row>
    <row r="2" customHeight="1" spans="1:13">
      <c r="A2" s="3">
        <v>1000</v>
      </c>
      <c r="B2" s="3" t="s">
        <v>89</v>
      </c>
      <c r="C2" s="3" t="s">
        <v>212</v>
      </c>
      <c r="D2" s="17"/>
      <c r="E2" s="17"/>
      <c r="F2" s="17"/>
      <c r="G2" s="17"/>
      <c r="H2" s="17"/>
      <c r="I2" s="17"/>
      <c r="J2" s="17"/>
      <c r="K2" s="17"/>
      <c r="L2" s="17"/>
      <c r="M2" s="17"/>
    </row>
    <row r="3" customHeight="1" spans="1:13">
      <c r="A3" s="3">
        <v>2500</v>
      </c>
      <c r="B3" s="3" t="s">
        <v>213</v>
      </c>
      <c r="C3" s="3" t="s">
        <v>212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customHeight="1" spans="1:13">
      <c r="A4" s="3">
        <v>4000</v>
      </c>
      <c r="B4" s="3" t="s">
        <v>214</v>
      </c>
      <c r="C4" s="3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customHeight="1" spans="1:13">
      <c r="A5" s="3">
        <v>4100</v>
      </c>
      <c r="B5" s="3" t="s">
        <v>215</v>
      </c>
      <c r="C5" s="3" t="s">
        <v>4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customHeight="1" spans="1:13">
      <c r="A6" s="3">
        <v>5000</v>
      </c>
      <c r="B6" s="3" t="s">
        <v>216</v>
      </c>
      <c r="C6" s="3" t="s">
        <v>217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Height="1" spans="1:13">
      <c r="A7" s="3">
        <v>6000</v>
      </c>
      <c r="B7" s="3" t="s">
        <v>218</v>
      </c>
      <c r="C7" s="3" t="s">
        <v>219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customHeight="1" spans="1:13">
      <c r="A8" s="3">
        <v>6100</v>
      </c>
      <c r="B8" s="3" t="s">
        <v>220</v>
      </c>
      <c r="C8" s="3" t="s">
        <v>219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customHeight="1" spans="1:13">
      <c r="A9" s="3">
        <v>6200</v>
      </c>
      <c r="B9" s="3" t="s">
        <v>221</v>
      </c>
      <c r="C9" s="3" t="s">
        <v>219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customHeight="1" spans="1:13">
      <c r="A10" s="3">
        <v>6900</v>
      </c>
      <c r="B10" s="3" t="s">
        <v>222</v>
      </c>
      <c r="C10" s="3" t="s">
        <v>219</v>
      </c>
      <c r="D10" s="3"/>
      <c r="E10" s="3"/>
      <c r="F10" s="17"/>
      <c r="G10" s="17"/>
      <c r="H10" s="17"/>
      <c r="I10" s="17"/>
      <c r="J10" s="17"/>
      <c r="K10" s="17"/>
      <c r="L10" s="17"/>
      <c r="M10" s="17"/>
    </row>
    <row r="11" customHeight="1" spans="1:13">
      <c r="A11" s="3">
        <v>1100</v>
      </c>
      <c r="B11" s="3" t="s">
        <v>223</v>
      </c>
      <c r="C11" s="3" t="s">
        <v>212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customHeight="1" spans="1:13">
      <c r="A12" s="3">
        <v>2000</v>
      </c>
      <c r="B12" s="3" t="s">
        <v>224</v>
      </c>
      <c r="C12" s="3" t="s">
        <v>212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ht="14" spans="1:13">
      <c r="A13" s="6"/>
      <c r="B13" s="6"/>
      <c r="C13" s="6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ht="14" spans="1:3">
      <c r="A14" s="9"/>
      <c r="B14" s="9"/>
      <c r="C14" s="9"/>
    </row>
    <row r="15" ht="14" spans="1:3">
      <c r="A15" s="9"/>
      <c r="B15" s="9"/>
      <c r="C15" s="9"/>
    </row>
    <row r="16" ht="14" spans="1:3">
      <c r="A16" s="9"/>
      <c r="B16" s="9"/>
      <c r="C16" s="9"/>
    </row>
    <row r="17" ht="14" spans="1:3">
      <c r="A17" s="9"/>
      <c r="B17" s="9"/>
      <c r="C17" s="9"/>
    </row>
    <row r="18" ht="14" spans="1:3">
      <c r="A18" s="9"/>
      <c r="B18" s="9"/>
      <c r="C18" s="9"/>
    </row>
    <row r="19" ht="14" spans="1:3">
      <c r="A19" s="9"/>
      <c r="B19" s="9"/>
      <c r="C19" s="9"/>
    </row>
    <row r="20" ht="14" spans="1:3">
      <c r="A20" s="9"/>
      <c r="B20" s="9"/>
      <c r="C20" s="9"/>
    </row>
    <row r="21" ht="15.75" customHeight="1" spans="1:3">
      <c r="A21" s="9"/>
      <c r="B21" s="9"/>
      <c r="C21" s="9"/>
    </row>
    <row r="22" ht="15.75" customHeight="1" spans="1:3">
      <c r="A22" s="9"/>
      <c r="B22" s="9"/>
      <c r="C22" s="9"/>
    </row>
    <row r="23" ht="15.75" customHeight="1" spans="1:3">
      <c r="A23" s="9"/>
      <c r="B23" s="9"/>
      <c r="C23" s="9"/>
    </row>
    <row r="24" ht="15.75" customHeight="1" spans="1:3">
      <c r="A24" s="9"/>
      <c r="B24" s="9"/>
      <c r="C24" s="9"/>
    </row>
    <row r="25" ht="15.75" customHeight="1" spans="1:3">
      <c r="A25" s="9"/>
      <c r="B25" s="9"/>
      <c r="C25" s="9"/>
    </row>
    <row r="26" ht="15.75" customHeight="1" spans="1:3">
      <c r="A26" s="9"/>
      <c r="B26" s="9"/>
      <c r="C26" s="9"/>
    </row>
    <row r="27" ht="15.75" customHeight="1" spans="1:3">
      <c r="A27" s="9"/>
      <c r="B27" s="9"/>
      <c r="C27" s="9"/>
    </row>
    <row r="28" ht="15.75" customHeight="1" spans="1:3">
      <c r="A28" s="9"/>
      <c r="B28" s="9"/>
      <c r="C28" s="9"/>
    </row>
    <row r="29" ht="15.75" customHeight="1" spans="1:3">
      <c r="A29" s="9"/>
      <c r="B29" s="9"/>
      <c r="C29" s="9"/>
    </row>
    <row r="30" ht="15.75" customHeight="1" spans="1:3">
      <c r="A30" s="9"/>
      <c r="B30" s="9"/>
      <c r="C30" s="9"/>
    </row>
    <row r="31" ht="15.75" customHeight="1" spans="1:3">
      <c r="A31" s="9"/>
      <c r="B31" s="9"/>
      <c r="C31" s="9"/>
    </row>
    <row r="32" ht="15.75" customHeight="1" spans="1:3">
      <c r="A32" s="9"/>
      <c r="B32" s="9"/>
      <c r="C32" s="9"/>
    </row>
    <row r="33" ht="15.75" customHeight="1" spans="1:3">
      <c r="A33" s="9"/>
      <c r="B33" s="9"/>
      <c r="C33" s="9"/>
    </row>
    <row r="34" ht="15.75" customHeight="1" spans="1:3">
      <c r="A34" s="9"/>
      <c r="B34" s="9"/>
      <c r="C34" s="9"/>
    </row>
    <row r="35" ht="15.75" customHeight="1" spans="1:3">
      <c r="A35" s="9"/>
      <c r="B35" s="9"/>
      <c r="C35" s="9"/>
    </row>
    <row r="36" ht="15.75" customHeight="1" spans="1:3">
      <c r="A36" s="9"/>
      <c r="B36" s="9"/>
      <c r="C36" s="9"/>
    </row>
    <row r="37" ht="15.75" customHeight="1" spans="1:3">
      <c r="A37" s="9"/>
      <c r="B37" s="9"/>
      <c r="C37" s="9"/>
    </row>
    <row r="38" ht="15.75" customHeight="1" spans="1:3">
      <c r="A38" s="9"/>
      <c r="B38" s="9"/>
      <c r="C38" s="9"/>
    </row>
    <row r="39" ht="15.75" customHeight="1" spans="1:3">
      <c r="A39" s="9"/>
      <c r="B39" s="9"/>
      <c r="C39" s="9"/>
    </row>
    <row r="40" ht="15.75" customHeight="1" spans="1:3">
      <c r="A40" s="9"/>
      <c r="B40" s="9"/>
      <c r="C40" s="9"/>
    </row>
    <row r="41" ht="15.75" customHeight="1" spans="1:3">
      <c r="A41" s="9"/>
      <c r="B41" s="9"/>
      <c r="C41" s="9"/>
    </row>
    <row r="42" ht="15.75" customHeight="1" spans="1:3">
      <c r="A42" s="9"/>
      <c r="B42" s="9"/>
      <c r="C42" s="9"/>
    </row>
    <row r="43" ht="15.75" customHeight="1" spans="1:3">
      <c r="A43" s="9"/>
      <c r="B43" s="9"/>
      <c r="C43" s="9"/>
    </row>
    <row r="44" ht="15.75" customHeight="1" spans="1:3">
      <c r="A44" s="9"/>
      <c r="B44" s="9"/>
      <c r="C44" s="9"/>
    </row>
    <row r="45" ht="15.75" customHeight="1" spans="1:3">
      <c r="A45" s="9"/>
      <c r="B45" s="9"/>
      <c r="C45" s="9"/>
    </row>
    <row r="46" ht="15.75" customHeight="1" spans="1:3">
      <c r="A46" s="9"/>
      <c r="B46" s="9"/>
      <c r="C46" s="9"/>
    </row>
    <row r="47" ht="15.75" customHeight="1" spans="1:3">
      <c r="A47" s="9"/>
      <c r="B47" s="9"/>
      <c r="C47" s="9"/>
    </row>
    <row r="48" ht="15.75" customHeight="1" spans="1:3">
      <c r="A48" s="9"/>
      <c r="B48" s="9"/>
      <c r="C48" s="9"/>
    </row>
    <row r="49" ht="15.75" customHeight="1" spans="1:3">
      <c r="A49" s="9"/>
      <c r="B49" s="9"/>
      <c r="C49" s="9"/>
    </row>
    <row r="50" ht="15.75" customHeight="1" spans="1:3">
      <c r="A50" s="9"/>
      <c r="B50" s="9"/>
      <c r="C50" s="9"/>
    </row>
    <row r="51" ht="15.75" customHeight="1" spans="1:3">
      <c r="A51" s="9"/>
      <c r="B51" s="9"/>
      <c r="C51" s="9"/>
    </row>
    <row r="52" ht="15.75" customHeight="1" spans="1:3">
      <c r="A52" s="9"/>
      <c r="B52" s="9"/>
      <c r="C52" s="9"/>
    </row>
    <row r="53" ht="15.75" customHeight="1" spans="1:3">
      <c r="A53" s="9"/>
      <c r="B53" s="9"/>
      <c r="C53" s="9"/>
    </row>
    <row r="54" ht="15.75" customHeight="1" spans="1:3">
      <c r="A54" s="9"/>
      <c r="B54" s="9"/>
      <c r="C54" s="9"/>
    </row>
    <row r="55" ht="15.75" customHeight="1" spans="1:3">
      <c r="A55" s="9"/>
      <c r="B55" s="9"/>
      <c r="C55" s="9"/>
    </row>
    <row r="56" ht="15.75" customHeight="1" spans="1:3">
      <c r="A56" s="9"/>
      <c r="B56" s="9"/>
      <c r="C56" s="9"/>
    </row>
    <row r="57" ht="15.75" customHeight="1" spans="1:3">
      <c r="A57" s="9"/>
      <c r="B57" s="9"/>
      <c r="C57" s="9"/>
    </row>
    <row r="58" ht="15.75" customHeight="1" spans="1:3">
      <c r="A58" s="9"/>
      <c r="B58" s="9"/>
      <c r="C58" s="9"/>
    </row>
    <row r="59" ht="15.75" customHeight="1" spans="1:3">
      <c r="A59" s="9"/>
      <c r="B59" s="9"/>
      <c r="C59" s="9"/>
    </row>
    <row r="60" ht="15.75" customHeight="1" spans="1:3">
      <c r="A60" s="9"/>
      <c r="B60" s="9"/>
      <c r="C60" s="9"/>
    </row>
    <row r="61" ht="15.75" customHeight="1" spans="1:3">
      <c r="A61" s="9"/>
      <c r="B61" s="9"/>
      <c r="C61" s="9"/>
    </row>
    <row r="62" ht="15.75" customHeight="1" spans="1:3">
      <c r="A62" s="9"/>
      <c r="B62" s="9"/>
      <c r="C62" s="9"/>
    </row>
    <row r="63" ht="15.75" customHeight="1" spans="1:3">
      <c r="A63" s="9"/>
      <c r="B63" s="9"/>
      <c r="C63" s="9"/>
    </row>
    <row r="64" ht="15.75" customHeight="1" spans="1:3">
      <c r="A64" s="9"/>
      <c r="B64" s="9"/>
      <c r="C64" s="9"/>
    </row>
    <row r="65" ht="15.75" customHeight="1" spans="1:3">
      <c r="A65" s="9"/>
      <c r="B65" s="9"/>
      <c r="C65" s="9"/>
    </row>
    <row r="66" ht="15.75" customHeight="1" spans="1:3">
      <c r="A66" s="9"/>
      <c r="B66" s="9"/>
      <c r="C66" s="9"/>
    </row>
    <row r="67" ht="15.75" customHeight="1" spans="1:3">
      <c r="A67" s="9"/>
      <c r="B67" s="9"/>
      <c r="C67" s="9"/>
    </row>
    <row r="68" ht="15.75" customHeight="1" spans="1:3">
      <c r="A68" s="9"/>
      <c r="B68" s="9"/>
      <c r="C68" s="9"/>
    </row>
    <row r="69" ht="15.75" customHeight="1" spans="1:3">
      <c r="A69" s="9"/>
      <c r="B69" s="9"/>
      <c r="C69" s="9"/>
    </row>
    <row r="70" ht="15.75" customHeight="1" spans="1:3">
      <c r="A70" s="9"/>
      <c r="B70" s="9"/>
      <c r="C70" s="9"/>
    </row>
    <row r="71" ht="15.75" customHeight="1" spans="1:3">
      <c r="A71" s="9"/>
      <c r="B71" s="9"/>
      <c r="C71" s="9"/>
    </row>
    <row r="72" ht="15.75" customHeight="1" spans="1:3">
      <c r="A72" s="9"/>
      <c r="B72" s="9"/>
      <c r="C72" s="9"/>
    </row>
    <row r="73" ht="15.75" customHeight="1" spans="1:3">
      <c r="A73" s="9"/>
      <c r="B73" s="9"/>
      <c r="C73" s="9"/>
    </row>
    <row r="74" ht="15.75" customHeight="1" spans="1:3">
      <c r="A74" s="9"/>
      <c r="B74" s="9"/>
      <c r="C74" s="9"/>
    </row>
    <row r="75" ht="15.75" customHeight="1" spans="1:3">
      <c r="A75" s="9"/>
      <c r="B75" s="9"/>
      <c r="C75" s="9"/>
    </row>
    <row r="76" ht="15.75" customHeight="1" spans="1:3">
      <c r="A76" s="9"/>
      <c r="B76" s="9"/>
      <c r="C76" s="9"/>
    </row>
    <row r="77" ht="15.75" customHeight="1" spans="1:3">
      <c r="A77" s="9"/>
      <c r="B77" s="9"/>
      <c r="C77" s="9"/>
    </row>
    <row r="78" ht="15.75" customHeight="1" spans="1:3">
      <c r="A78" s="9"/>
      <c r="B78" s="9"/>
      <c r="C78" s="9"/>
    </row>
    <row r="79" ht="15.75" customHeight="1" spans="1:3">
      <c r="A79" s="9"/>
      <c r="B79" s="9"/>
      <c r="C79" s="9"/>
    </row>
    <row r="80" ht="15.75" customHeight="1" spans="1:3">
      <c r="A80" s="9"/>
      <c r="B80" s="9"/>
      <c r="C80" s="9"/>
    </row>
    <row r="81" ht="15.75" customHeight="1" spans="1:3">
      <c r="A81" s="9"/>
      <c r="B81" s="9"/>
      <c r="C81" s="9"/>
    </row>
    <row r="82" ht="15.75" customHeight="1" spans="1:3">
      <c r="A82" s="9"/>
      <c r="B82" s="9"/>
      <c r="C82" s="9"/>
    </row>
    <row r="83" ht="15.75" customHeight="1" spans="1:3">
      <c r="A83" s="9"/>
      <c r="B83" s="9"/>
      <c r="C83" s="9"/>
    </row>
    <row r="84" ht="15.75" customHeight="1" spans="1:3">
      <c r="A84" s="9"/>
      <c r="B84" s="9"/>
      <c r="C84" s="9"/>
    </row>
    <row r="85" ht="15.75" customHeight="1" spans="1:3">
      <c r="A85" s="9"/>
      <c r="B85" s="9"/>
      <c r="C85" s="9"/>
    </row>
    <row r="86" ht="15.75" customHeight="1" spans="1:3">
      <c r="A86" s="9"/>
      <c r="B86" s="9"/>
      <c r="C86" s="9"/>
    </row>
    <row r="87" ht="15.75" customHeight="1" spans="1:3">
      <c r="A87" s="9"/>
      <c r="B87" s="9"/>
      <c r="C87" s="9"/>
    </row>
    <row r="88" ht="15.75" customHeight="1" spans="1:3">
      <c r="A88" s="9"/>
      <c r="B88" s="9"/>
      <c r="C88" s="9"/>
    </row>
    <row r="89" ht="15.75" customHeight="1" spans="1:3">
      <c r="A89" s="9"/>
      <c r="B89" s="9"/>
      <c r="C89" s="9"/>
    </row>
    <row r="90" ht="15.75" customHeight="1" spans="1:3">
      <c r="A90" s="9"/>
      <c r="B90" s="9"/>
      <c r="C90" s="9"/>
    </row>
    <row r="91" ht="15.75" customHeight="1" spans="1:3">
      <c r="A91" s="9"/>
      <c r="B91" s="9"/>
      <c r="C91" s="9"/>
    </row>
    <row r="92" ht="15.75" customHeight="1" spans="1:3">
      <c r="A92" s="9"/>
      <c r="B92" s="9"/>
      <c r="C92" s="9"/>
    </row>
    <row r="93" ht="15.75" customHeight="1" spans="1:3">
      <c r="A93" s="9"/>
      <c r="B93" s="9"/>
      <c r="C93" s="9"/>
    </row>
    <row r="94" ht="15.75" customHeight="1" spans="1:3">
      <c r="A94" s="9"/>
      <c r="B94" s="9"/>
      <c r="C94" s="9"/>
    </row>
    <row r="95" ht="15.75" customHeight="1" spans="1:3">
      <c r="A95" s="9"/>
      <c r="B95" s="9"/>
      <c r="C95" s="9"/>
    </row>
    <row r="96" ht="15.75" customHeight="1" spans="1:3">
      <c r="A96" s="9"/>
      <c r="B96" s="9"/>
      <c r="C96" s="9"/>
    </row>
    <row r="97" ht="15.75" customHeight="1" spans="1:3">
      <c r="A97" s="9"/>
      <c r="B97" s="9"/>
      <c r="C97" s="9"/>
    </row>
    <row r="98" ht="15.75" customHeight="1" spans="1:3">
      <c r="A98" s="9"/>
      <c r="B98" s="9"/>
      <c r="C98" s="9"/>
    </row>
    <row r="99" ht="15.75" customHeight="1" spans="1:3">
      <c r="A99" s="9"/>
      <c r="B99" s="9"/>
      <c r="C99" s="9"/>
    </row>
    <row r="100" ht="15.75" customHeight="1" spans="1:3">
      <c r="A100" s="9"/>
      <c r="B100" s="9"/>
      <c r="C100" s="9"/>
    </row>
    <row r="101" ht="15.75" customHeight="1" spans="1:3">
      <c r="A101" s="9"/>
      <c r="B101" s="9"/>
      <c r="C101" s="9"/>
    </row>
    <row r="102" ht="15.75" customHeight="1" spans="1:3">
      <c r="A102" s="9"/>
      <c r="B102" s="9"/>
      <c r="C102" s="9"/>
    </row>
    <row r="103" ht="15.75" customHeight="1" spans="1:3">
      <c r="A103" s="9"/>
      <c r="B103" s="9"/>
      <c r="C103" s="9"/>
    </row>
    <row r="104" ht="15.75" customHeight="1" spans="1:3">
      <c r="A104" s="9"/>
      <c r="B104" s="9"/>
      <c r="C104" s="9"/>
    </row>
    <row r="105" ht="15.75" customHeight="1" spans="1:3">
      <c r="A105" s="9"/>
      <c r="B105" s="9"/>
      <c r="C105" s="9"/>
    </row>
    <row r="106" ht="15.75" customHeight="1" spans="1:3">
      <c r="A106" s="9"/>
      <c r="B106" s="9"/>
      <c r="C106" s="9"/>
    </row>
    <row r="107" ht="15.75" customHeight="1" spans="1:3">
      <c r="A107" s="9"/>
      <c r="B107" s="9"/>
      <c r="C107" s="9"/>
    </row>
    <row r="108" ht="15.75" customHeight="1" spans="1:3">
      <c r="A108" s="9"/>
      <c r="B108" s="9"/>
      <c r="C108" s="9"/>
    </row>
    <row r="109" ht="15.75" customHeight="1" spans="1:3">
      <c r="A109" s="9"/>
      <c r="B109" s="9"/>
      <c r="C109" s="9"/>
    </row>
    <row r="110" ht="15.75" customHeight="1" spans="1:3">
      <c r="A110" s="9"/>
      <c r="B110" s="9"/>
      <c r="C110" s="9"/>
    </row>
    <row r="111" ht="15.75" customHeight="1" spans="1:3">
      <c r="A111" s="9"/>
      <c r="B111" s="9"/>
      <c r="C111" s="9"/>
    </row>
    <row r="112" ht="15.75" customHeight="1" spans="1:3">
      <c r="A112" s="9"/>
      <c r="B112" s="9"/>
      <c r="C112" s="9"/>
    </row>
    <row r="113" ht="15.75" customHeight="1" spans="1:3">
      <c r="A113" s="9"/>
      <c r="B113" s="9"/>
      <c r="C113" s="9"/>
    </row>
    <row r="114" ht="15.75" customHeight="1" spans="1:3">
      <c r="A114" s="9"/>
      <c r="B114" s="9"/>
      <c r="C114" s="9"/>
    </row>
    <row r="115" ht="15.75" customHeight="1" spans="1:3">
      <c r="A115" s="9"/>
      <c r="B115" s="9"/>
      <c r="C115" s="9"/>
    </row>
    <row r="116" ht="15.75" customHeight="1" spans="1:3">
      <c r="A116" s="9"/>
      <c r="B116" s="9"/>
      <c r="C116" s="9"/>
    </row>
    <row r="117" ht="15.75" customHeight="1" spans="1:3">
      <c r="A117" s="9"/>
      <c r="B117" s="9"/>
      <c r="C117" s="9"/>
    </row>
    <row r="118" ht="15.75" customHeight="1" spans="1:3">
      <c r="A118" s="9"/>
      <c r="B118" s="9"/>
      <c r="C118" s="9"/>
    </row>
    <row r="119" ht="15.75" customHeight="1" spans="1:3">
      <c r="A119" s="9"/>
      <c r="B119" s="9"/>
      <c r="C119" s="9"/>
    </row>
    <row r="120" ht="15.75" customHeight="1" spans="1:3">
      <c r="A120" s="9"/>
      <c r="B120" s="9"/>
      <c r="C120" s="9"/>
    </row>
    <row r="121" ht="15.75" customHeight="1" spans="1:3">
      <c r="A121" s="9"/>
      <c r="B121" s="9"/>
      <c r="C121" s="9"/>
    </row>
    <row r="122" ht="15.75" customHeight="1" spans="1:3">
      <c r="A122" s="9"/>
      <c r="B122" s="9"/>
      <c r="C122" s="9"/>
    </row>
    <row r="123" ht="15.75" customHeight="1" spans="1:3">
      <c r="A123" s="9"/>
      <c r="B123" s="9"/>
      <c r="C123" s="9"/>
    </row>
    <row r="124" ht="15.75" customHeight="1" spans="1:3">
      <c r="A124" s="9"/>
      <c r="B124" s="9"/>
      <c r="C124" s="9"/>
    </row>
    <row r="125" ht="15.75" customHeight="1" spans="1:3">
      <c r="A125" s="9"/>
      <c r="B125" s="9"/>
      <c r="C125" s="9"/>
    </row>
    <row r="126" ht="15.75" customHeight="1" spans="1:3">
      <c r="A126" s="9"/>
      <c r="B126" s="9"/>
      <c r="C126" s="9"/>
    </row>
    <row r="127" ht="15.75" customHeight="1" spans="1:3">
      <c r="A127" s="9"/>
      <c r="B127" s="9"/>
      <c r="C127" s="9"/>
    </row>
    <row r="128" ht="15.75" customHeight="1" spans="1:3">
      <c r="A128" s="9"/>
      <c r="B128" s="9"/>
      <c r="C128" s="9"/>
    </row>
    <row r="129" ht="15.75" customHeight="1" spans="1:3">
      <c r="A129" s="9"/>
      <c r="B129" s="9"/>
      <c r="C129" s="9"/>
    </row>
    <row r="130" ht="15.75" customHeight="1" spans="1:3">
      <c r="A130" s="9"/>
      <c r="B130" s="9"/>
      <c r="C130" s="9"/>
    </row>
    <row r="131" ht="15.75" customHeight="1" spans="1:3">
      <c r="A131" s="9"/>
      <c r="B131" s="9"/>
      <c r="C131" s="9"/>
    </row>
    <row r="132" ht="15.75" customHeight="1" spans="1:3">
      <c r="A132" s="9"/>
      <c r="B132" s="9"/>
      <c r="C132" s="9"/>
    </row>
    <row r="133" ht="15.75" customHeight="1" spans="1:3">
      <c r="A133" s="9"/>
      <c r="B133" s="9"/>
      <c r="C133" s="9"/>
    </row>
    <row r="134" ht="15.75" customHeight="1" spans="1:3">
      <c r="A134" s="9"/>
      <c r="B134" s="9"/>
      <c r="C134" s="9"/>
    </row>
    <row r="135" ht="15.75" customHeight="1" spans="1:3">
      <c r="A135" s="9"/>
      <c r="B135" s="9"/>
      <c r="C135" s="9"/>
    </row>
    <row r="136" ht="15.75" customHeight="1" spans="1:3">
      <c r="A136" s="9"/>
      <c r="B136" s="9"/>
      <c r="C136" s="9"/>
    </row>
    <row r="137" ht="15.75" customHeight="1" spans="1:3">
      <c r="A137" s="9"/>
      <c r="B137" s="9"/>
      <c r="C137" s="9"/>
    </row>
    <row r="138" ht="15.75" customHeight="1" spans="1:3">
      <c r="A138" s="9"/>
      <c r="B138" s="9"/>
      <c r="C138" s="9"/>
    </row>
    <row r="139" ht="15.75" customHeight="1" spans="1:3">
      <c r="A139" s="9"/>
      <c r="B139" s="9"/>
      <c r="C139" s="9"/>
    </row>
    <row r="140" ht="15.75" customHeight="1" spans="1:3">
      <c r="A140" s="9"/>
      <c r="B140" s="9"/>
      <c r="C140" s="9"/>
    </row>
    <row r="141" ht="15.75" customHeight="1" spans="1:3">
      <c r="A141" s="9"/>
      <c r="B141" s="9"/>
      <c r="C141" s="9"/>
    </row>
    <row r="142" ht="15.75" customHeight="1" spans="1:3">
      <c r="A142" s="9"/>
      <c r="B142" s="9"/>
      <c r="C142" s="9"/>
    </row>
    <row r="143" ht="15.75" customHeight="1" spans="1:3">
      <c r="A143" s="9"/>
      <c r="B143" s="9"/>
      <c r="C143" s="9"/>
    </row>
    <row r="144" ht="15.75" customHeight="1" spans="1:3">
      <c r="A144" s="9"/>
      <c r="B144" s="9"/>
      <c r="C144" s="9"/>
    </row>
    <row r="145" ht="15.75" customHeight="1" spans="1:3">
      <c r="A145" s="9"/>
      <c r="B145" s="9"/>
      <c r="C145" s="9"/>
    </row>
    <row r="146" ht="15.75" customHeight="1" spans="1:3">
      <c r="A146" s="9"/>
      <c r="B146" s="9"/>
      <c r="C146" s="9"/>
    </row>
    <row r="147" ht="15.75" customHeight="1" spans="1:3">
      <c r="A147" s="9"/>
      <c r="B147" s="9"/>
      <c r="C147" s="9"/>
    </row>
    <row r="148" ht="15.75" customHeight="1" spans="1:3">
      <c r="A148" s="9"/>
      <c r="B148" s="9"/>
      <c r="C148" s="9"/>
    </row>
    <row r="149" ht="15.75" customHeight="1" spans="1:3">
      <c r="A149" s="9"/>
      <c r="B149" s="9"/>
      <c r="C149" s="9"/>
    </row>
    <row r="150" ht="15.75" customHeight="1" spans="1:3">
      <c r="A150" s="9"/>
      <c r="B150" s="9"/>
      <c r="C150" s="9"/>
    </row>
    <row r="151" ht="15.75" customHeight="1" spans="1:3">
      <c r="A151" s="9"/>
      <c r="B151" s="9"/>
      <c r="C151" s="9"/>
    </row>
    <row r="152" ht="15.75" customHeight="1" spans="1:3">
      <c r="A152" s="9"/>
      <c r="B152" s="9"/>
      <c r="C152" s="9"/>
    </row>
    <row r="153" ht="15.75" customHeight="1" spans="1:3">
      <c r="A153" s="9"/>
      <c r="B153" s="9"/>
      <c r="C153" s="9"/>
    </row>
    <row r="154" ht="15.75" customHeight="1" spans="1:3">
      <c r="A154" s="9"/>
      <c r="B154" s="9"/>
      <c r="C154" s="9"/>
    </row>
    <row r="155" ht="15.75" customHeight="1" spans="1:3">
      <c r="A155" s="9"/>
      <c r="B155" s="9"/>
      <c r="C155" s="9"/>
    </row>
    <row r="156" ht="15.75" customHeight="1" spans="1:3">
      <c r="A156" s="9"/>
      <c r="B156" s="9"/>
      <c r="C156" s="9"/>
    </row>
    <row r="157" ht="15.75" customHeight="1" spans="1:3">
      <c r="A157" s="9"/>
      <c r="B157" s="9"/>
      <c r="C157" s="9"/>
    </row>
    <row r="158" ht="15.75" customHeight="1" spans="1:3">
      <c r="A158" s="9"/>
      <c r="B158" s="9"/>
      <c r="C158" s="9"/>
    </row>
    <row r="159" ht="15.75" customHeight="1" spans="1:3">
      <c r="A159" s="9"/>
      <c r="B159" s="9"/>
      <c r="C159" s="9"/>
    </row>
    <row r="160" ht="15.75" customHeight="1" spans="1:3">
      <c r="A160" s="9"/>
      <c r="B160" s="9"/>
      <c r="C160" s="9"/>
    </row>
    <row r="161" ht="15.75" customHeight="1" spans="1:3">
      <c r="A161" s="9"/>
      <c r="B161" s="9"/>
      <c r="C161" s="9"/>
    </row>
    <row r="162" ht="15.75" customHeight="1" spans="1:3">
      <c r="A162" s="9"/>
      <c r="B162" s="9"/>
      <c r="C162" s="9"/>
    </row>
    <row r="163" ht="15.75" customHeight="1" spans="1:3">
      <c r="A163" s="9"/>
      <c r="B163" s="9"/>
      <c r="C163" s="9"/>
    </row>
    <row r="164" ht="15.75" customHeight="1" spans="1:3">
      <c r="A164" s="9"/>
      <c r="B164" s="9"/>
      <c r="C164" s="9"/>
    </row>
    <row r="165" ht="15.75" customHeight="1" spans="1:3">
      <c r="A165" s="9"/>
      <c r="B165" s="9"/>
      <c r="C165" s="9"/>
    </row>
    <row r="166" ht="15.75" customHeight="1" spans="1:3">
      <c r="A166" s="9"/>
      <c r="B166" s="9"/>
      <c r="C166" s="9"/>
    </row>
    <row r="167" ht="15.75" customHeight="1" spans="1:3">
      <c r="A167" s="9"/>
      <c r="B167" s="9"/>
      <c r="C167" s="9"/>
    </row>
    <row r="168" ht="15.75" customHeight="1" spans="1:3">
      <c r="A168" s="9"/>
      <c r="B168" s="9"/>
      <c r="C168" s="9"/>
    </row>
    <row r="169" ht="15.75" customHeight="1" spans="1:3">
      <c r="A169" s="9"/>
      <c r="B169" s="9"/>
      <c r="C169" s="9"/>
    </row>
    <row r="170" ht="15.75" customHeight="1" spans="1:3">
      <c r="A170" s="9"/>
      <c r="B170" s="9"/>
      <c r="C170" s="9"/>
    </row>
    <row r="171" ht="15.75" customHeight="1" spans="1:3">
      <c r="A171" s="9"/>
      <c r="B171" s="9"/>
      <c r="C171" s="9"/>
    </row>
    <row r="172" ht="15.75" customHeight="1" spans="1:3">
      <c r="A172" s="9"/>
      <c r="B172" s="9"/>
      <c r="C172" s="9"/>
    </row>
    <row r="173" ht="15.75" customHeight="1" spans="1:3">
      <c r="A173" s="9"/>
      <c r="B173" s="9"/>
      <c r="C173" s="9"/>
    </row>
    <row r="174" ht="15.75" customHeight="1" spans="1:3">
      <c r="A174" s="9"/>
      <c r="B174" s="9"/>
      <c r="C174" s="9"/>
    </row>
    <row r="175" ht="15.75" customHeight="1" spans="1:3">
      <c r="A175" s="9"/>
      <c r="B175" s="9"/>
      <c r="C175" s="9"/>
    </row>
    <row r="176" ht="15.75" customHeight="1" spans="1:3">
      <c r="A176" s="9"/>
      <c r="B176" s="9"/>
      <c r="C176" s="9"/>
    </row>
    <row r="177" ht="15.75" customHeight="1" spans="1:3">
      <c r="A177" s="9"/>
      <c r="B177" s="9"/>
      <c r="C177" s="9"/>
    </row>
    <row r="178" ht="15.75" customHeight="1" spans="1:3">
      <c r="A178" s="9"/>
      <c r="B178" s="9"/>
      <c r="C178" s="9"/>
    </row>
    <row r="179" ht="15.75" customHeight="1" spans="1:3">
      <c r="A179" s="9"/>
      <c r="B179" s="9"/>
      <c r="C179" s="9"/>
    </row>
    <row r="180" ht="15.75" customHeight="1" spans="1:3">
      <c r="A180" s="9"/>
      <c r="B180" s="9"/>
      <c r="C180" s="9"/>
    </row>
    <row r="181" ht="15.75" customHeight="1" spans="1:3">
      <c r="A181" s="9"/>
      <c r="B181" s="9"/>
      <c r="C181" s="9"/>
    </row>
    <row r="182" ht="15.75" customHeight="1" spans="1:3">
      <c r="A182" s="9"/>
      <c r="B182" s="9"/>
      <c r="C182" s="9"/>
    </row>
    <row r="183" ht="15.75" customHeight="1" spans="1:3">
      <c r="A183" s="9"/>
      <c r="B183" s="9"/>
      <c r="C183" s="9"/>
    </row>
    <row r="184" ht="15.75" customHeight="1" spans="1:3">
      <c r="A184" s="9"/>
      <c r="B184" s="9"/>
      <c r="C184" s="9"/>
    </row>
    <row r="185" ht="15.75" customHeight="1" spans="1:3">
      <c r="A185" s="9"/>
      <c r="B185" s="9"/>
      <c r="C185" s="9"/>
    </row>
    <row r="186" ht="15.75" customHeight="1" spans="1:3">
      <c r="A186" s="9"/>
      <c r="B186" s="9"/>
      <c r="C186" s="9"/>
    </row>
    <row r="187" ht="15.75" customHeight="1" spans="1:3">
      <c r="A187" s="9"/>
      <c r="B187" s="9"/>
      <c r="C187" s="9"/>
    </row>
    <row r="188" ht="15.75" customHeight="1" spans="1:3">
      <c r="A188" s="9"/>
      <c r="B188" s="9"/>
      <c r="C188" s="9"/>
    </row>
    <row r="189" ht="15.75" customHeight="1" spans="1:3">
      <c r="A189" s="9"/>
      <c r="B189" s="9"/>
      <c r="C189" s="9"/>
    </row>
    <row r="190" ht="15.75" customHeight="1" spans="1:3">
      <c r="A190" s="9"/>
      <c r="B190" s="9"/>
      <c r="C190" s="9"/>
    </row>
    <row r="191" ht="15.75" customHeight="1" spans="1:3">
      <c r="A191" s="9"/>
      <c r="B191" s="9"/>
      <c r="C191" s="9"/>
    </row>
    <row r="192" ht="15.75" customHeight="1" spans="1:3">
      <c r="A192" s="9"/>
      <c r="B192" s="9"/>
      <c r="C192" s="9"/>
    </row>
    <row r="193" ht="15.75" customHeight="1" spans="1:3">
      <c r="A193" s="9"/>
      <c r="B193" s="9"/>
      <c r="C193" s="9"/>
    </row>
    <row r="194" ht="15.75" customHeight="1" spans="1:3">
      <c r="A194" s="9"/>
      <c r="B194" s="9"/>
      <c r="C194" s="9"/>
    </row>
    <row r="195" ht="15.75" customHeight="1" spans="1:3">
      <c r="A195" s="9"/>
      <c r="B195" s="9"/>
      <c r="C195" s="9"/>
    </row>
    <row r="196" ht="15.75" customHeight="1" spans="1:3">
      <c r="A196" s="9"/>
      <c r="B196" s="9"/>
      <c r="C196" s="9"/>
    </row>
    <row r="197" ht="15.75" customHeight="1" spans="1:3">
      <c r="A197" s="9"/>
      <c r="B197" s="9"/>
      <c r="C197" s="9"/>
    </row>
    <row r="198" ht="15.75" customHeight="1" spans="1:3">
      <c r="A198" s="9"/>
      <c r="B198" s="9"/>
      <c r="C198" s="9"/>
    </row>
    <row r="199" ht="15.75" customHeight="1" spans="1:3">
      <c r="A199" s="9"/>
      <c r="B199" s="9"/>
      <c r="C199" s="9"/>
    </row>
    <row r="200" ht="15.75" customHeight="1" spans="1:3">
      <c r="A200" s="9"/>
      <c r="B200" s="9"/>
      <c r="C200" s="9"/>
    </row>
    <row r="201" ht="15.75" customHeight="1" spans="1:3">
      <c r="A201" s="9"/>
      <c r="B201" s="9"/>
      <c r="C201" s="9"/>
    </row>
    <row r="202" ht="15.75" customHeight="1" spans="1:3">
      <c r="A202" s="9"/>
      <c r="B202" s="9"/>
      <c r="C202" s="9"/>
    </row>
    <row r="203" ht="15.75" customHeight="1" spans="1:3">
      <c r="A203" s="9"/>
      <c r="B203" s="9"/>
      <c r="C203" s="9"/>
    </row>
    <row r="204" ht="15.75" customHeight="1" spans="1:3">
      <c r="A204" s="9"/>
      <c r="B204" s="9"/>
      <c r="C204" s="9"/>
    </row>
    <row r="205" ht="15.75" customHeight="1" spans="1:3">
      <c r="A205" s="9"/>
      <c r="B205" s="9"/>
      <c r="C205" s="9"/>
    </row>
    <row r="206" ht="15.75" customHeight="1" spans="1:3">
      <c r="A206" s="9"/>
      <c r="B206" s="9"/>
      <c r="C206" s="9"/>
    </row>
    <row r="207" ht="15.75" customHeight="1" spans="1:3">
      <c r="A207" s="9"/>
      <c r="B207" s="9"/>
      <c r="C207" s="9"/>
    </row>
    <row r="208" ht="15.75" customHeight="1" spans="1:3">
      <c r="A208" s="9"/>
      <c r="B208" s="9"/>
      <c r="C208" s="9"/>
    </row>
    <row r="209" ht="15.75" customHeight="1" spans="1:3">
      <c r="A209" s="9"/>
      <c r="B209" s="9"/>
      <c r="C209" s="9"/>
    </row>
    <row r="210" ht="15.75" customHeight="1" spans="1:3">
      <c r="A210" s="9"/>
      <c r="B210" s="9"/>
      <c r="C210" s="9"/>
    </row>
    <row r="211" ht="15.75" customHeight="1" spans="1:3">
      <c r="A211" s="9"/>
      <c r="B211" s="9"/>
      <c r="C211" s="9"/>
    </row>
    <row r="212" ht="15.75" customHeight="1" spans="1:3">
      <c r="A212" s="9"/>
      <c r="B212" s="9"/>
      <c r="C212" s="9"/>
    </row>
    <row r="213" ht="15.75" customHeight="1" spans="1:3">
      <c r="A213" s="9"/>
      <c r="B213" s="9"/>
      <c r="C213" s="9"/>
    </row>
    <row r="214" ht="15.75" customHeight="1" spans="1:3">
      <c r="A214" s="9"/>
      <c r="B214" s="9"/>
      <c r="C214" s="9"/>
    </row>
    <row r="215" ht="15.75" customHeight="1" spans="1:3">
      <c r="A215" s="9"/>
      <c r="B215" s="9"/>
      <c r="C215" s="9"/>
    </row>
    <row r="216" ht="15.75" customHeight="1" spans="1:3">
      <c r="A216" s="9"/>
      <c r="B216" s="9"/>
      <c r="C216" s="9"/>
    </row>
    <row r="217" ht="15.75" customHeight="1" spans="1:3">
      <c r="A217" s="9"/>
      <c r="B217" s="9"/>
      <c r="C217" s="9"/>
    </row>
    <row r="218" ht="15.75" customHeight="1" spans="1:3">
      <c r="A218" s="9"/>
      <c r="B218" s="9"/>
      <c r="C218" s="9"/>
    </row>
    <row r="219" ht="15.75" customHeight="1" spans="1:3">
      <c r="A219" s="9"/>
      <c r="B219" s="9"/>
      <c r="C219" s="9"/>
    </row>
    <row r="220" ht="15.75" customHeight="1" spans="1:3">
      <c r="A220" s="9"/>
      <c r="B220" s="9"/>
      <c r="C220" s="9"/>
    </row>
    <row r="221" ht="15.75" customHeight="1" spans="1:3">
      <c r="A221" s="9"/>
      <c r="B221" s="9"/>
      <c r="C221" s="9"/>
    </row>
    <row r="222" ht="15.75" customHeight="1" spans="1:3">
      <c r="A222" s="9"/>
      <c r="B222" s="9"/>
      <c r="C222" s="9"/>
    </row>
    <row r="223" ht="15.75" customHeight="1" spans="1:3">
      <c r="A223" s="9"/>
      <c r="B223" s="9"/>
      <c r="C223" s="9"/>
    </row>
    <row r="224" ht="15.75" customHeight="1" spans="1:3">
      <c r="A224" s="9"/>
      <c r="B224" s="9"/>
      <c r="C224" s="9"/>
    </row>
    <row r="225" ht="15.75" customHeight="1" spans="1:3">
      <c r="A225" s="9"/>
      <c r="B225" s="9"/>
      <c r="C225" s="9"/>
    </row>
    <row r="226" ht="15.75" customHeight="1" spans="1:3">
      <c r="A226" s="9"/>
      <c r="B226" s="9"/>
      <c r="C226" s="9"/>
    </row>
    <row r="227" ht="15.75" customHeight="1" spans="1:3">
      <c r="A227" s="9"/>
      <c r="B227" s="9"/>
      <c r="C227" s="9"/>
    </row>
    <row r="228" ht="15.75" customHeight="1" spans="1:3">
      <c r="A228" s="9"/>
      <c r="B228" s="9"/>
      <c r="C228" s="9"/>
    </row>
    <row r="229" ht="15.75" customHeight="1" spans="1:3">
      <c r="A229" s="9"/>
      <c r="B229" s="9"/>
      <c r="C229" s="9"/>
    </row>
    <row r="230" ht="15.75" customHeight="1" spans="1:3">
      <c r="A230" s="9"/>
      <c r="B230" s="9"/>
      <c r="C230" s="9"/>
    </row>
    <row r="231" ht="15.75" customHeight="1" spans="1:3">
      <c r="A231" s="9"/>
      <c r="B231" s="9"/>
      <c r="C231" s="9"/>
    </row>
    <row r="232" ht="15.75" customHeight="1" spans="1:3">
      <c r="A232" s="9"/>
      <c r="B232" s="9"/>
      <c r="C232" s="9"/>
    </row>
    <row r="233" ht="15.75" customHeight="1" spans="1:3">
      <c r="A233" s="9"/>
      <c r="B233" s="9"/>
      <c r="C233" s="9"/>
    </row>
    <row r="234" ht="15.75" customHeight="1" spans="1:3">
      <c r="A234" s="9"/>
      <c r="B234" s="9"/>
      <c r="C234" s="9"/>
    </row>
    <row r="235" ht="15.75" customHeight="1" spans="1:3">
      <c r="A235" s="9"/>
      <c r="B235" s="9"/>
      <c r="C235" s="9"/>
    </row>
    <row r="236" ht="15.75" customHeight="1" spans="1:3">
      <c r="A236" s="9"/>
      <c r="B236" s="9"/>
      <c r="C236" s="9"/>
    </row>
    <row r="237" ht="15.75" customHeight="1" spans="1:3">
      <c r="A237" s="9"/>
      <c r="B237" s="9"/>
      <c r="C237" s="9"/>
    </row>
    <row r="238" ht="15.75" customHeight="1" spans="1:3">
      <c r="A238" s="9"/>
      <c r="B238" s="9"/>
      <c r="C238" s="9"/>
    </row>
    <row r="239" ht="15.75" customHeight="1" spans="1:3">
      <c r="A239" s="9"/>
      <c r="B239" s="9"/>
      <c r="C239" s="9"/>
    </row>
    <row r="240" ht="15.75" customHeight="1" spans="1:3">
      <c r="A240" s="9"/>
      <c r="B240" s="9"/>
      <c r="C240" s="9"/>
    </row>
    <row r="241" ht="15.75" customHeight="1" spans="1:3">
      <c r="A241" s="9"/>
      <c r="B241" s="9"/>
      <c r="C241" s="9"/>
    </row>
    <row r="242" ht="15.75" customHeight="1" spans="1:3">
      <c r="A242" s="9"/>
      <c r="B242" s="9"/>
      <c r="C242" s="9"/>
    </row>
    <row r="243" ht="15.75" customHeight="1" spans="1:3">
      <c r="A243" s="9"/>
      <c r="B243" s="9"/>
      <c r="C243" s="9"/>
    </row>
    <row r="244" ht="15.75" customHeight="1" spans="1:3">
      <c r="A244" s="9"/>
      <c r="B244" s="9"/>
      <c r="C244" s="9"/>
    </row>
    <row r="245" ht="15.75" customHeight="1" spans="1:3">
      <c r="A245" s="9"/>
      <c r="B245" s="9"/>
      <c r="C245" s="9"/>
    </row>
    <row r="246" ht="15.75" customHeight="1" spans="1:3">
      <c r="A246" s="9"/>
      <c r="B246" s="9"/>
      <c r="C246" s="9"/>
    </row>
    <row r="247" ht="15.75" customHeight="1" spans="1:3">
      <c r="A247" s="9"/>
      <c r="B247" s="9"/>
      <c r="C247" s="9"/>
    </row>
    <row r="248" ht="15.75" customHeight="1" spans="1:3">
      <c r="A248" s="9"/>
      <c r="B248" s="9"/>
      <c r="C248" s="9"/>
    </row>
    <row r="249" ht="15.75" customHeight="1" spans="1:3">
      <c r="A249" s="9"/>
      <c r="B249" s="9"/>
      <c r="C249" s="9"/>
    </row>
    <row r="250" ht="15.75" customHeight="1" spans="1:3">
      <c r="A250" s="9"/>
      <c r="B250" s="9"/>
      <c r="C250" s="9"/>
    </row>
    <row r="251" ht="15.75" customHeight="1" spans="1:3">
      <c r="A251" s="9"/>
      <c r="B251" s="9"/>
      <c r="C251" s="9"/>
    </row>
    <row r="252" ht="15.75" customHeight="1" spans="1:3">
      <c r="A252" s="9"/>
      <c r="B252" s="9"/>
      <c r="C252" s="9"/>
    </row>
    <row r="253" ht="15.75" customHeight="1" spans="1:3">
      <c r="A253" s="9"/>
      <c r="B253" s="9"/>
      <c r="C253" s="9"/>
    </row>
    <row r="254" ht="15.75" customHeight="1" spans="1:3">
      <c r="A254" s="9"/>
      <c r="B254" s="9"/>
      <c r="C254" s="9"/>
    </row>
    <row r="255" ht="15.75" customHeight="1" spans="1:3">
      <c r="A255" s="9"/>
      <c r="B255" s="9"/>
      <c r="C255" s="9"/>
    </row>
    <row r="256" ht="15.75" customHeight="1" spans="1:3">
      <c r="A256" s="9"/>
      <c r="B256" s="9"/>
      <c r="C256" s="9"/>
    </row>
    <row r="257" ht="15.75" customHeight="1" spans="1:3">
      <c r="A257" s="9"/>
      <c r="B257" s="9"/>
      <c r="C257" s="9"/>
    </row>
    <row r="258" ht="15.75" customHeight="1" spans="1:3">
      <c r="A258" s="9"/>
      <c r="B258" s="9"/>
      <c r="C258" s="9"/>
    </row>
    <row r="259" ht="15.75" customHeight="1" spans="1:3">
      <c r="A259" s="9"/>
      <c r="B259" s="9"/>
      <c r="C259" s="9"/>
    </row>
    <row r="260" ht="15.75" customHeight="1" spans="1:3">
      <c r="A260" s="9"/>
      <c r="B260" s="9"/>
      <c r="C260" s="9"/>
    </row>
    <row r="261" ht="15.75" customHeight="1" spans="1:3">
      <c r="A261" s="9"/>
      <c r="B261" s="9"/>
      <c r="C261" s="9"/>
    </row>
    <row r="262" ht="15.75" customHeight="1" spans="1:3">
      <c r="A262" s="9"/>
      <c r="B262" s="9"/>
      <c r="C262" s="9"/>
    </row>
    <row r="263" ht="15.75" customHeight="1" spans="1:3">
      <c r="A263" s="9"/>
      <c r="B263" s="9"/>
      <c r="C263" s="9"/>
    </row>
    <row r="264" ht="15.75" customHeight="1" spans="1:3">
      <c r="A264" s="9"/>
      <c r="B264" s="9"/>
      <c r="C264" s="9"/>
    </row>
    <row r="265" ht="15.75" customHeight="1" spans="1:3">
      <c r="A265" s="9"/>
      <c r="B265" s="9"/>
      <c r="C265" s="9"/>
    </row>
    <row r="266" ht="15.75" customHeight="1" spans="1:3">
      <c r="A266" s="9"/>
      <c r="B266" s="9"/>
      <c r="C266" s="9"/>
    </row>
    <row r="267" ht="15.75" customHeight="1" spans="1:3">
      <c r="A267" s="9"/>
      <c r="B267" s="9"/>
      <c r="C267" s="9"/>
    </row>
    <row r="268" ht="15.75" customHeight="1" spans="1:3">
      <c r="A268" s="9"/>
      <c r="B268" s="9"/>
      <c r="C268" s="9"/>
    </row>
    <row r="269" ht="15.75" customHeight="1" spans="1:3">
      <c r="A269" s="9"/>
      <c r="B269" s="9"/>
      <c r="C269" s="9"/>
    </row>
    <row r="270" ht="15.75" customHeight="1" spans="1:3">
      <c r="A270" s="9"/>
      <c r="B270" s="9"/>
      <c r="C270" s="9"/>
    </row>
    <row r="271" ht="15.75" customHeight="1" spans="1:3">
      <c r="A271" s="9"/>
      <c r="B271" s="9"/>
      <c r="C271" s="9"/>
    </row>
    <row r="272" ht="15.75" customHeight="1" spans="1:3">
      <c r="A272" s="9"/>
      <c r="B272" s="9"/>
      <c r="C272" s="9"/>
    </row>
    <row r="273" ht="15.75" customHeight="1" spans="1:3">
      <c r="A273" s="9"/>
      <c r="B273" s="9"/>
      <c r="C273" s="9"/>
    </row>
    <row r="274" ht="15.75" customHeight="1" spans="1:3">
      <c r="A274" s="9"/>
      <c r="B274" s="9"/>
      <c r="C274" s="9"/>
    </row>
    <row r="275" ht="15.75" customHeight="1" spans="1:3">
      <c r="A275" s="9"/>
      <c r="B275" s="9"/>
      <c r="C275" s="9"/>
    </row>
    <row r="276" ht="15.75" customHeight="1" spans="1:3">
      <c r="A276" s="9"/>
      <c r="B276" s="9"/>
      <c r="C276" s="9"/>
    </row>
    <row r="277" ht="15.75" customHeight="1" spans="1:3">
      <c r="A277" s="9"/>
      <c r="B277" s="9"/>
      <c r="C277" s="9"/>
    </row>
    <row r="278" ht="15.75" customHeight="1" spans="1:3">
      <c r="A278" s="9"/>
      <c r="B278" s="9"/>
      <c r="C278" s="9"/>
    </row>
    <row r="279" ht="15.75" customHeight="1" spans="1:3">
      <c r="A279" s="9"/>
      <c r="B279" s="9"/>
      <c r="C279" s="9"/>
    </row>
    <row r="280" ht="15.75" customHeight="1" spans="1:3">
      <c r="A280" s="9"/>
      <c r="B280" s="9"/>
      <c r="C280" s="9"/>
    </row>
    <row r="281" ht="15.75" customHeight="1" spans="1:3">
      <c r="A281" s="9"/>
      <c r="B281" s="9"/>
      <c r="C281" s="9"/>
    </row>
    <row r="282" ht="15.75" customHeight="1" spans="1:3">
      <c r="A282" s="9"/>
      <c r="B282" s="9"/>
      <c r="C282" s="9"/>
    </row>
    <row r="283" ht="15.75" customHeight="1" spans="1:3">
      <c r="A283" s="9"/>
      <c r="B283" s="9"/>
      <c r="C283" s="9"/>
    </row>
    <row r="284" ht="15.75" customHeight="1" spans="1:3">
      <c r="A284" s="9"/>
      <c r="B284" s="9"/>
      <c r="C284" s="9"/>
    </row>
    <row r="285" ht="15.75" customHeight="1" spans="1:3">
      <c r="A285" s="9"/>
      <c r="B285" s="9"/>
      <c r="C285" s="9"/>
    </row>
    <row r="286" ht="15.75" customHeight="1" spans="1:3">
      <c r="A286" s="9"/>
      <c r="B286" s="9"/>
      <c r="C286" s="9"/>
    </row>
    <row r="287" ht="15.75" customHeight="1" spans="1:3">
      <c r="A287" s="9"/>
      <c r="B287" s="9"/>
      <c r="C287" s="9"/>
    </row>
    <row r="288" ht="15.75" customHeight="1" spans="1:3">
      <c r="A288" s="9"/>
      <c r="B288" s="9"/>
      <c r="C288" s="9"/>
    </row>
    <row r="289" ht="15.75" customHeight="1" spans="1:3">
      <c r="A289" s="9"/>
      <c r="B289" s="9"/>
      <c r="C289" s="9"/>
    </row>
    <row r="290" ht="15.75" customHeight="1" spans="1:3">
      <c r="A290" s="9"/>
      <c r="B290" s="9"/>
      <c r="C290" s="9"/>
    </row>
    <row r="291" ht="15.75" customHeight="1" spans="1:3">
      <c r="A291" s="9"/>
      <c r="B291" s="9"/>
      <c r="C291" s="9"/>
    </row>
    <row r="292" ht="15.75" customHeight="1" spans="1:3">
      <c r="A292" s="9"/>
      <c r="B292" s="9"/>
      <c r="C292" s="9"/>
    </row>
    <row r="293" ht="15.75" customHeight="1" spans="1:3">
      <c r="A293" s="9"/>
      <c r="B293" s="9"/>
      <c r="C293" s="9"/>
    </row>
    <row r="294" ht="15.75" customHeight="1" spans="1:3">
      <c r="A294" s="9"/>
      <c r="B294" s="9"/>
      <c r="C294" s="9"/>
    </row>
    <row r="295" ht="15.75" customHeight="1" spans="1:3">
      <c r="A295" s="9"/>
      <c r="B295" s="9"/>
      <c r="C295" s="9"/>
    </row>
    <row r="296" ht="15.75" customHeight="1" spans="1:3">
      <c r="A296" s="9"/>
      <c r="B296" s="9"/>
      <c r="C296" s="9"/>
    </row>
    <row r="297" ht="15.75" customHeight="1" spans="1:3">
      <c r="A297" s="9"/>
      <c r="B297" s="9"/>
      <c r="C297" s="9"/>
    </row>
    <row r="298" ht="15.75" customHeight="1" spans="1:3">
      <c r="A298" s="9"/>
      <c r="B298" s="9"/>
      <c r="C298" s="9"/>
    </row>
    <row r="299" ht="15.75" customHeight="1" spans="1:3">
      <c r="A299" s="9"/>
      <c r="B299" s="9"/>
      <c r="C299" s="9"/>
    </row>
    <row r="300" ht="15.75" customHeight="1" spans="1:3">
      <c r="A300" s="9"/>
      <c r="B300" s="9"/>
      <c r="C300" s="9"/>
    </row>
    <row r="301" ht="15.75" customHeight="1" spans="1:3">
      <c r="A301" s="9"/>
      <c r="B301" s="9"/>
      <c r="C301" s="9"/>
    </row>
    <row r="302" ht="15.75" customHeight="1" spans="1:3">
      <c r="A302" s="9"/>
      <c r="B302" s="9"/>
      <c r="C302" s="9"/>
    </row>
    <row r="303" ht="15.75" customHeight="1" spans="1:3">
      <c r="A303" s="9"/>
      <c r="B303" s="9"/>
      <c r="C303" s="9"/>
    </row>
    <row r="304" ht="15.75" customHeight="1" spans="1:3">
      <c r="A304" s="9"/>
      <c r="B304" s="9"/>
      <c r="C304" s="9"/>
    </row>
    <row r="305" ht="15.75" customHeight="1" spans="1:3">
      <c r="A305" s="9"/>
      <c r="B305" s="9"/>
      <c r="C305" s="9"/>
    </row>
    <row r="306" ht="15.75" customHeight="1" spans="1:3">
      <c r="A306" s="9"/>
      <c r="B306" s="9"/>
      <c r="C306" s="9"/>
    </row>
    <row r="307" ht="15.75" customHeight="1" spans="1:3">
      <c r="A307" s="9"/>
      <c r="B307" s="9"/>
      <c r="C307" s="9"/>
    </row>
    <row r="308" ht="15.75" customHeight="1" spans="1:3">
      <c r="A308" s="9"/>
      <c r="B308" s="9"/>
      <c r="C308" s="9"/>
    </row>
    <row r="309" ht="15.75" customHeight="1" spans="1:3">
      <c r="A309" s="9"/>
      <c r="B309" s="9"/>
      <c r="C309" s="9"/>
    </row>
    <row r="310" ht="15.75" customHeight="1" spans="1:3">
      <c r="A310" s="9"/>
      <c r="B310" s="9"/>
      <c r="C310" s="9"/>
    </row>
    <row r="311" ht="15.75" customHeight="1" spans="1:3">
      <c r="A311" s="9"/>
      <c r="B311" s="9"/>
      <c r="C311" s="9"/>
    </row>
    <row r="312" ht="15.75" customHeight="1" spans="1:3">
      <c r="A312" s="9"/>
      <c r="B312" s="9"/>
      <c r="C312" s="9"/>
    </row>
    <row r="313" ht="15.75" customHeight="1" spans="1:3">
      <c r="A313" s="9"/>
      <c r="B313" s="9"/>
      <c r="C313" s="9"/>
    </row>
    <row r="314" ht="15.75" customHeight="1" spans="1:3">
      <c r="A314" s="9"/>
      <c r="B314" s="9"/>
      <c r="C314" s="9"/>
    </row>
    <row r="315" ht="15.75" customHeight="1" spans="1:3">
      <c r="A315" s="9"/>
      <c r="B315" s="9"/>
      <c r="C315" s="9"/>
    </row>
    <row r="316" ht="15.75" customHeight="1" spans="1:3">
      <c r="A316" s="9"/>
      <c r="B316" s="9"/>
      <c r="C316" s="9"/>
    </row>
    <row r="317" ht="15.75" customHeight="1" spans="1:3">
      <c r="A317" s="9"/>
      <c r="B317" s="9"/>
      <c r="C317" s="9"/>
    </row>
    <row r="318" ht="15.75" customHeight="1" spans="1:3">
      <c r="A318" s="9"/>
      <c r="B318" s="9"/>
      <c r="C318" s="9"/>
    </row>
    <row r="319" ht="15.75" customHeight="1" spans="1:3">
      <c r="A319" s="9"/>
      <c r="B319" s="9"/>
      <c r="C319" s="9"/>
    </row>
    <row r="320" ht="15.75" customHeight="1" spans="1:3">
      <c r="A320" s="9"/>
      <c r="B320" s="9"/>
      <c r="C320" s="9"/>
    </row>
    <row r="321" ht="15.75" customHeight="1" spans="1:3">
      <c r="A321" s="9"/>
      <c r="B321" s="9"/>
      <c r="C321" s="9"/>
    </row>
    <row r="322" ht="15.75" customHeight="1" spans="1:3">
      <c r="A322" s="9"/>
      <c r="B322" s="9"/>
      <c r="C322" s="9"/>
    </row>
    <row r="323" ht="15.75" customHeight="1" spans="1:3">
      <c r="A323" s="9"/>
      <c r="B323" s="9"/>
      <c r="C323" s="9"/>
    </row>
    <row r="324" ht="15.75" customHeight="1" spans="1:3">
      <c r="A324" s="9"/>
      <c r="B324" s="9"/>
      <c r="C324" s="9"/>
    </row>
    <row r="325" ht="15.75" customHeight="1" spans="1:3">
      <c r="A325" s="9"/>
      <c r="B325" s="9"/>
      <c r="C325" s="9"/>
    </row>
    <row r="326" ht="15.75" customHeight="1" spans="1:3">
      <c r="A326" s="9"/>
      <c r="B326" s="9"/>
      <c r="C326" s="9"/>
    </row>
    <row r="327" ht="15.75" customHeight="1" spans="1:3">
      <c r="A327" s="9"/>
      <c r="B327" s="9"/>
      <c r="C327" s="9"/>
    </row>
    <row r="328" ht="15.75" customHeight="1" spans="1:3">
      <c r="A328" s="9"/>
      <c r="B328" s="9"/>
      <c r="C328" s="9"/>
    </row>
    <row r="329" ht="15.75" customHeight="1" spans="1:3">
      <c r="A329" s="9"/>
      <c r="B329" s="9"/>
      <c r="C329" s="9"/>
    </row>
    <row r="330" ht="15.75" customHeight="1" spans="1:3">
      <c r="A330" s="9"/>
      <c r="B330" s="9"/>
      <c r="C330" s="9"/>
    </row>
    <row r="331" ht="15.75" customHeight="1" spans="1:3">
      <c r="A331" s="9"/>
      <c r="B331" s="9"/>
      <c r="C331" s="9"/>
    </row>
    <row r="332" ht="15.75" customHeight="1" spans="1:3">
      <c r="A332" s="9"/>
      <c r="B332" s="9"/>
      <c r="C332" s="9"/>
    </row>
    <row r="333" ht="15.75" customHeight="1" spans="1:3">
      <c r="A333" s="9"/>
      <c r="B333" s="9"/>
      <c r="C333" s="9"/>
    </row>
    <row r="334" ht="15.75" customHeight="1" spans="1:3">
      <c r="A334" s="9"/>
      <c r="B334" s="9"/>
      <c r="C334" s="9"/>
    </row>
    <row r="335" ht="15.75" customHeight="1" spans="1:3">
      <c r="A335" s="9"/>
      <c r="B335" s="9"/>
      <c r="C335" s="9"/>
    </row>
    <row r="336" ht="15.75" customHeight="1" spans="1:3">
      <c r="A336" s="9"/>
      <c r="B336" s="9"/>
      <c r="C336" s="9"/>
    </row>
    <row r="337" ht="15.75" customHeight="1" spans="1:3">
      <c r="A337" s="9"/>
      <c r="B337" s="9"/>
      <c r="C337" s="9"/>
    </row>
    <row r="338" ht="15.75" customHeight="1" spans="1:3">
      <c r="A338" s="9"/>
      <c r="B338" s="9"/>
      <c r="C338" s="9"/>
    </row>
    <row r="339" ht="15.75" customHeight="1" spans="1:3">
      <c r="A339" s="9"/>
      <c r="B339" s="9"/>
      <c r="C339" s="9"/>
    </row>
    <row r="340" ht="15.75" customHeight="1" spans="1:3">
      <c r="A340" s="9"/>
      <c r="B340" s="9"/>
      <c r="C340" s="9"/>
    </row>
    <row r="341" ht="15.75" customHeight="1" spans="1:3">
      <c r="A341" s="9"/>
      <c r="B341" s="9"/>
      <c r="C341" s="9"/>
    </row>
    <row r="342" ht="15.75" customHeight="1" spans="1:3">
      <c r="A342" s="9"/>
      <c r="B342" s="9"/>
      <c r="C342" s="9"/>
    </row>
    <row r="343" ht="15.75" customHeight="1" spans="1:3">
      <c r="A343" s="9"/>
      <c r="B343" s="9"/>
      <c r="C343" s="9"/>
    </row>
    <row r="344" ht="15.75" customHeight="1" spans="1:3">
      <c r="A344" s="9"/>
      <c r="B344" s="9"/>
      <c r="C344" s="9"/>
    </row>
    <row r="345" ht="15.75" customHeight="1" spans="1:3">
      <c r="A345" s="9"/>
      <c r="B345" s="9"/>
      <c r="C345" s="9"/>
    </row>
    <row r="346" ht="15.75" customHeight="1" spans="1:3">
      <c r="A346" s="9"/>
      <c r="B346" s="9"/>
      <c r="C346" s="9"/>
    </row>
    <row r="347" ht="15.75" customHeight="1" spans="1:3">
      <c r="A347" s="9"/>
      <c r="B347" s="9"/>
      <c r="C347" s="9"/>
    </row>
    <row r="348" ht="15.75" customHeight="1" spans="1:3">
      <c r="A348" s="9"/>
      <c r="B348" s="9"/>
      <c r="C348" s="9"/>
    </row>
    <row r="349" ht="15.75" customHeight="1" spans="1:3">
      <c r="A349" s="9"/>
      <c r="B349" s="9"/>
      <c r="C349" s="9"/>
    </row>
    <row r="350" ht="15.75" customHeight="1" spans="1:3">
      <c r="A350" s="9"/>
      <c r="B350" s="9"/>
      <c r="C350" s="9"/>
    </row>
    <row r="351" ht="15.75" customHeight="1" spans="1:3">
      <c r="A351" s="9"/>
      <c r="B351" s="9"/>
      <c r="C351" s="9"/>
    </row>
    <row r="352" ht="15.75" customHeight="1" spans="1:3">
      <c r="A352" s="9"/>
      <c r="B352" s="9"/>
      <c r="C352" s="9"/>
    </row>
    <row r="353" ht="15.75" customHeight="1" spans="1:3">
      <c r="A353" s="9"/>
      <c r="B353" s="9"/>
      <c r="C353" s="9"/>
    </row>
    <row r="354" ht="15.75" customHeight="1" spans="1:3">
      <c r="A354" s="9"/>
      <c r="B354" s="9"/>
      <c r="C354" s="9"/>
    </row>
    <row r="355" ht="15.75" customHeight="1" spans="1:3">
      <c r="A355" s="9"/>
      <c r="B355" s="9"/>
      <c r="C355" s="9"/>
    </row>
    <row r="356" ht="15.75" customHeight="1" spans="1:3">
      <c r="A356" s="9"/>
      <c r="B356" s="9"/>
      <c r="C356" s="9"/>
    </row>
    <row r="357" ht="15.75" customHeight="1" spans="1:3">
      <c r="A357" s="9"/>
      <c r="B357" s="9"/>
      <c r="C357" s="9"/>
    </row>
    <row r="358" ht="15.75" customHeight="1" spans="1:3">
      <c r="A358" s="9"/>
      <c r="B358" s="9"/>
      <c r="C358" s="9"/>
    </row>
    <row r="359" ht="15.75" customHeight="1" spans="1:3">
      <c r="A359" s="9"/>
      <c r="B359" s="9"/>
      <c r="C359" s="9"/>
    </row>
    <row r="360" ht="15.75" customHeight="1" spans="1:3">
      <c r="A360" s="9"/>
      <c r="B360" s="9"/>
      <c r="C360" s="9"/>
    </row>
    <row r="361" ht="15.75" customHeight="1" spans="1:3">
      <c r="A361" s="9"/>
      <c r="B361" s="9"/>
      <c r="C361" s="9"/>
    </row>
    <row r="362" ht="15.75" customHeight="1" spans="1:3">
      <c r="A362" s="9"/>
      <c r="B362" s="9"/>
      <c r="C362" s="9"/>
    </row>
    <row r="363" ht="15.75" customHeight="1" spans="1:3">
      <c r="A363" s="9"/>
      <c r="B363" s="9"/>
      <c r="C363" s="9"/>
    </row>
    <row r="364" ht="15.75" customHeight="1" spans="1:3">
      <c r="A364" s="9"/>
      <c r="B364" s="9"/>
      <c r="C364" s="9"/>
    </row>
    <row r="365" ht="15.75" customHeight="1" spans="1:3">
      <c r="A365" s="9"/>
      <c r="B365" s="9"/>
      <c r="C365" s="9"/>
    </row>
    <row r="366" ht="15.75" customHeight="1" spans="1:3">
      <c r="A366" s="9"/>
      <c r="B366" s="9"/>
      <c r="C366" s="9"/>
    </row>
    <row r="367" ht="15.75" customHeight="1" spans="1:3">
      <c r="A367" s="9"/>
      <c r="B367" s="9"/>
      <c r="C367" s="9"/>
    </row>
    <row r="368" ht="15.75" customHeight="1" spans="1:3">
      <c r="A368" s="9"/>
      <c r="B368" s="9"/>
      <c r="C368" s="9"/>
    </row>
    <row r="369" ht="15.75" customHeight="1" spans="1:3">
      <c r="A369" s="9"/>
      <c r="B369" s="9"/>
      <c r="C369" s="9"/>
    </row>
    <row r="370" ht="15.75" customHeight="1" spans="1:3">
      <c r="A370" s="9"/>
      <c r="B370" s="9"/>
      <c r="C370" s="9"/>
    </row>
    <row r="371" ht="15.75" customHeight="1" spans="1:3">
      <c r="A371" s="9"/>
      <c r="B371" s="9"/>
      <c r="C371" s="9"/>
    </row>
    <row r="372" ht="15.75" customHeight="1" spans="1:3">
      <c r="A372" s="9"/>
      <c r="B372" s="9"/>
      <c r="C372" s="9"/>
    </row>
    <row r="373" ht="15.75" customHeight="1" spans="1:3">
      <c r="A373" s="9"/>
      <c r="B373" s="9"/>
      <c r="C373" s="9"/>
    </row>
    <row r="374" ht="15.75" customHeight="1" spans="1:3">
      <c r="A374" s="9"/>
      <c r="B374" s="9"/>
      <c r="C374" s="9"/>
    </row>
    <row r="375" ht="15.75" customHeight="1" spans="1:3">
      <c r="A375" s="9"/>
      <c r="B375" s="9"/>
      <c r="C375" s="9"/>
    </row>
    <row r="376" ht="15.75" customHeight="1" spans="1:3">
      <c r="A376" s="9"/>
      <c r="B376" s="9"/>
      <c r="C376" s="9"/>
    </row>
    <row r="377" ht="15.75" customHeight="1" spans="1:3">
      <c r="A377" s="9"/>
      <c r="B377" s="9"/>
      <c r="C377" s="9"/>
    </row>
    <row r="378" ht="15.75" customHeight="1" spans="1:3">
      <c r="A378" s="9"/>
      <c r="B378" s="9"/>
      <c r="C378" s="9"/>
    </row>
    <row r="379" ht="15.75" customHeight="1" spans="1:3">
      <c r="A379" s="9"/>
      <c r="B379" s="9"/>
      <c r="C379" s="9"/>
    </row>
    <row r="380" ht="15.75" customHeight="1" spans="1:3">
      <c r="A380" s="9"/>
      <c r="B380" s="9"/>
      <c r="C380" s="9"/>
    </row>
    <row r="381" ht="15.75" customHeight="1" spans="1:3">
      <c r="A381" s="9"/>
      <c r="B381" s="9"/>
      <c r="C381" s="9"/>
    </row>
    <row r="382" ht="15.75" customHeight="1" spans="1:3">
      <c r="A382" s="9"/>
      <c r="B382" s="9"/>
      <c r="C382" s="9"/>
    </row>
    <row r="383" ht="15.75" customHeight="1" spans="1:3">
      <c r="A383" s="9"/>
      <c r="B383" s="9"/>
      <c r="C383" s="9"/>
    </row>
    <row r="384" ht="15.75" customHeight="1" spans="1:3">
      <c r="A384" s="9"/>
      <c r="B384" s="9"/>
      <c r="C384" s="9"/>
    </row>
    <row r="385" ht="15.75" customHeight="1" spans="1:3">
      <c r="A385" s="9"/>
      <c r="B385" s="9"/>
      <c r="C385" s="9"/>
    </row>
    <row r="386" ht="15.75" customHeight="1" spans="1:3">
      <c r="A386" s="9"/>
      <c r="B386" s="9"/>
      <c r="C386" s="9"/>
    </row>
    <row r="387" ht="15.75" customHeight="1" spans="1:3">
      <c r="A387" s="9"/>
      <c r="B387" s="9"/>
      <c r="C387" s="9"/>
    </row>
    <row r="388" ht="15.75" customHeight="1" spans="1:3">
      <c r="A388" s="9"/>
      <c r="B388" s="9"/>
      <c r="C388" s="9"/>
    </row>
    <row r="389" ht="15.75" customHeight="1" spans="1:3">
      <c r="A389" s="9"/>
      <c r="B389" s="9"/>
      <c r="C389" s="9"/>
    </row>
    <row r="390" ht="15.75" customHeight="1" spans="1:3">
      <c r="A390" s="9"/>
      <c r="B390" s="9"/>
      <c r="C390" s="9"/>
    </row>
    <row r="391" ht="15.75" customHeight="1" spans="1:3">
      <c r="A391" s="9"/>
      <c r="B391" s="9"/>
      <c r="C391" s="9"/>
    </row>
    <row r="392" ht="15.75" customHeight="1" spans="1:3">
      <c r="A392" s="9"/>
      <c r="B392" s="9"/>
      <c r="C392" s="9"/>
    </row>
    <row r="393" ht="15.75" customHeight="1" spans="1:3">
      <c r="A393" s="9"/>
      <c r="B393" s="9"/>
      <c r="C393" s="9"/>
    </row>
    <row r="394" ht="15.75" customHeight="1" spans="1:3">
      <c r="A394" s="9"/>
      <c r="B394" s="9"/>
      <c r="C394" s="9"/>
    </row>
    <row r="395" ht="15.75" customHeight="1" spans="1:3">
      <c r="A395" s="9"/>
      <c r="B395" s="9"/>
      <c r="C395" s="9"/>
    </row>
    <row r="396" ht="15.75" customHeight="1" spans="1:3">
      <c r="A396" s="9"/>
      <c r="B396" s="9"/>
      <c r="C396" s="9"/>
    </row>
    <row r="397" ht="15.75" customHeight="1" spans="1:3">
      <c r="A397" s="9"/>
      <c r="B397" s="9"/>
      <c r="C397" s="9"/>
    </row>
    <row r="398" ht="15.75" customHeight="1" spans="1:3">
      <c r="A398" s="9"/>
      <c r="B398" s="9"/>
      <c r="C398" s="9"/>
    </row>
    <row r="399" ht="15.75" customHeight="1" spans="1:3">
      <c r="A399" s="9"/>
      <c r="B399" s="9"/>
      <c r="C399" s="9"/>
    </row>
    <row r="400" ht="15.75" customHeight="1" spans="1:3">
      <c r="A400" s="9"/>
      <c r="B400" s="9"/>
      <c r="C400" s="9"/>
    </row>
    <row r="401" ht="15.75" customHeight="1" spans="1:3">
      <c r="A401" s="9"/>
      <c r="B401" s="9"/>
      <c r="C401" s="9"/>
    </row>
    <row r="402" ht="15.75" customHeight="1" spans="1:3">
      <c r="A402" s="9"/>
      <c r="B402" s="9"/>
      <c r="C402" s="9"/>
    </row>
    <row r="403" ht="15.75" customHeight="1" spans="1:3">
      <c r="A403" s="9"/>
      <c r="B403" s="9"/>
      <c r="C403" s="9"/>
    </row>
    <row r="404" ht="15.75" customHeight="1" spans="1:3">
      <c r="A404" s="9"/>
      <c r="B404" s="9"/>
      <c r="C404" s="9"/>
    </row>
    <row r="405" ht="15.75" customHeight="1" spans="1:3">
      <c r="A405" s="9"/>
      <c r="B405" s="9"/>
      <c r="C405" s="9"/>
    </row>
    <row r="406" ht="15.75" customHeight="1" spans="1:3">
      <c r="A406" s="9"/>
      <c r="B406" s="9"/>
      <c r="C406" s="9"/>
    </row>
    <row r="407" ht="15.75" customHeight="1" spans="1:3">
      <c r="A407" s="9"/>
      <c r="B407" s="9"/>
      <c r="C407" s="9"/>
    </row>
    <row r="408" ht="15.75" customHeight="1" spans="1:3">
      <c r="A408" s="9"/>
      <c r="B408" s="9"/>
      <c r="C408" s="9"/>
    </row>
    <row r="409" ht="15.75" customHeight="1" spans="1:3">
      <c r="A409" s="9"/>
      <c r="B409" s="9"/>
      <c r="C409" s="9"/>
    </row>
    <row r="410" ht="15.75" customHeight="1" spans="1:3">
      <c r="A410" s="9"/>
      <c r="B410" s="9"/>
      <c r="C410" s="9"/>
    </row>
    <row r="411" ht="15.75" customHeight="1" spans="1:3">
      <c r="A411" s="9"/>
      <c r="B411" s="9"/>
      <c r="C411" s="9"/>
    </row>
    <row r="412" ht="15.75" customHeight="1" spans="1:3">
      <c r="A412" s="9"/>
      <c r="B412" s="9"/>
      <c r="C412" s="9"/>
    </row>
    <row r="413" ht="15.75" customHeight="1" spans="1:3">
      <c r="A413" s="9"/>
      <c r="B413" s="9"/>
      <c r="C413" s="9"/>
    </row>
    <row r="414" ht="15.75" customHeight="1" spans="1:3">
      <c r="A414" s="9"/>
      <c r="B414" s="9"/>
      <c r="C414" s="9"/>
    </row>
    <row r="415" ht="15.75" customHeight="1" spans="1:3">
      <c r="A415" s="9"/>
      <c r="B415" s="9"/>
      <c r="C415" s="9"/>
    </row>
    <row r="416" ht="15.75" customHeight="1" spans="1:3">
      <c r="A416" s="9"/>
      <c r="B416" s="9"/>
      <c r="C416" s="9"/>
    </row>
    <row r="417" ht="15.75" customHeight="1" spans="1:3">
      <c r="A417" s="9"/>
      <c r="B417" s="9"/>
      <c r="C417" s="9"/>
    </row>
    <row r="418" ht="15.75" customHeight="1" spans="1:3">
      <c r="A418" s="9"/>
      <c r="B418" s="9"/>
      <c r="C418" s="9"/>
    </row>
    <row r="419" ht="15.75" customHeight="1" spans="1:3">
      <c r="A419" s="9"/>
      <c r="B419" s="9"/>
      <c r="C419" s="9"/>
    </row>
    <row r="420" ht="15.75" customHeight="1" spans="1:3">
      <c r="A420" s="9"/>
      <c r="B420" s="9"/>
      <c r="C420" s="9"/>
    </row>
    <row r="421" ht="15.75" customHeight="1" spans="1:3">
      <c r="A421" s="9"/>
      <c r="B421" s="9"/>
      <c r="C421" s="9"/>
    </row>
    <row r="422" ht="15.75" customHeight="1" spans="1:3">
      <c r="A422" s="9"/>
      <c r="B422" s="9"/>
      <c r="C422" s="9"/>
    </row>
    <row r="423" ht="15.75" customHeight="1" spans="1:3">
      <c r="A423" s="9"/>
      <c r="B423" s="9"/>
      <c r="C423" s="9"/>
    </row>
    <row r="424" ht="15.75" customHeight="1" spans="1:3">
      <c r="A424" s="9"/>
      <c r="B424" s="9"/>
      <c r="C424" s="9"/>
    </row>
    <row r="425" ht="15.75" customHeight="1" spans="1:3">
      <c r="A425" s="9"/>
      <c r="B425" s="9"/>
      <c r="C425" s="9"/>
    </row>
    <row r="426" ht="15.75" customHeight="1" spans="1:3">
      <c r="A426" s="9"/>
      <c r="B426" s="9"/>
      <c r="C426" s="9"/>
    </row>
    <row r="427" ht="15.75" customHeight="1" spans="1:3">
      <c r="A427" s="9"/>
      <c r="B427" s="9"/>
      <c r="C427" s="9"/>
    </row>
    <row r="428" ht="15.75" customHeight="1" spans="1:3">
      <c r="A428" s="9"/>
      <c r="B428" s="9"/>
      <c r="C428" s="9"/>
    </row>
    <row r="429" ht="15.75" customHeight="1" spans="1:3">
      <c r="A429" s="9"/>
      <c r="B429" s="9"/>
      <c r="C429" s="9"/>
    </row>
    <row r="430" ht="15.75" customHeight="1" spans="1:3">
      <c r="A430" s="9"/>
      <c r="B430" s="9"/>
      <c r="C430" s="9"/>
    </row>
    <row r="431" ht="15.75" customHeight="1" spans="1:3">
      <c r="A431" s="9"/>
      <c r="B431" s="9"/>
      <c r="C431" s="9"/>
    </row>
    <row r="432" ht="15.75" customHeight="1" spans="1:3">
      <c r="A432" s="9"/>
      <c r="B432" s="9"/>
      <c r="C432" s="9"/>
    </row>
    <row r="433" ht="15.75" customHeight="1" spans="1:3">
      <c r="A433" s="9"/>
      <c r="B433" s="9"/>
      <c r="C433" s="9"/>
    </row>
    <row r="434" ht="15.75" customHeight="1" spans="1:3">
      <c r="A434" s="9"/>
      <c r="B434" s="9"/>
      <c r="C434" s="9"/>
    </row>
    <row r="435" ht="15.75" customHeight="1" spans="1:3">
      <c r="A435" s="9"/>
      <c r="B435" s="9"/>
      <c r="C435" s="9"/>
    </row>
    <row r="436" ht="15.75" customHeight="1" spans="1:3">
      <c r="A436" s="9"/>
      <c r="B436" s="9"/>
      <c r="C436" s="9"/>
    </row>
    <row r="437" ht="15.75" customHeight="1" spans="1:3">
      <c r="A437" s="9"/>
      <c r="B437" s="9"/>
      <c r="C437" s="9"/>
    </row>
    <row r="438" ht="15.75" customHeight="1" spans="1:3">
      <c r="A438" s="9"/>
      <c r="B438" s="9"/>
      <c r="C438" s="9"/>
    </row>
    <row r="439" ht="15.75" customHeight="1" spans="1:3">
      <c r="A439" s="9"/>
      <c r="B439" s="9"/>
      <c r="C439" s="9"/>
    </row>
    <row r="440" ht="15.75" customHeight="1" spans="1:3">
      <c r="A440" s="9"/>
      <c r="B440" s="9"/>
      <c r="C440" s="9"/>
    </row>
    <row r="441" ht="15.75" customHeight="1" spans="1:3">
      <c r="A441" s="9"/>
      <c r="B441" s="9"/>
      <c r="C441" s="9"/>
    </row>
    <row r="442" ht="15.75" customHeight="1" spans="1:3">
      <c r="A442" s="9"/>
      <c r="B442" s="9"/>
      <c r="C442" s="9"/>
    </row>
    <row r="443" ht="15.75" customHeight="1" spans="1:3">
      <c r="A443" s="9"/>
      <c r="B443" s="9"/>
      <c r="C443" s="9"/>
    </row>
    <row r="444" ht="15.75" customHeight="1" spans="1:3">
      <c r="A444" s="9"/>
      <c r="B444" s="9"/>
      <c r="C444" s="9"/>
    </row>
    <row r="445" ht="15.75" customHeight="1" spans="1:3">
      <c r="A445" s="9"/>
      <c r="B445" s="9"/>
      <c r="C445" s="9"/>
    </row>
    <row r="446" ht="15.75" customHeight="1" spans="1:3">
      <c r="A446" s="9"/>
      <c r="B446" s="9"/>
      <c r="C446" s="9"/>
    </row>
    <row r="447" ht="15.75" customHeight="1" spans="1:3">
      <c r="A447" s="9"/>
      <c r="B447" s="9"/>
      <c r="C447" s="9"/>
    </row>
    <row r="448" ht="15.75" customHeight="1" spans="1:3">
      <c r="A448" s="9"/>
      <c r="B448" s="9"/>
      <c r="C448" s="9"/>
    </row>
    <row r="449" ht="15.75" customHeight="1" spans="1:3">
      <c r="A449" s="9"/>
      <c r="B449" s="9"/>
      <c r="C449" s="9"/>
    </row>
    <row r="450" ht="15.75" customHeight="1" spans="1:3">
      <c r="A450" s="9"/>
      <c r="B450" s="9"/>
      <c r="C450" s="9"/>
    </row>
    <row r="451" ht="15.75" customHeight="1" spans="1:3">
      <c r="A451" s="9"/>
      <c r="B451" s="9"/>
      <c r="C451" s="9"/>
    </row>
    <row r="452" ht="15.75" customHeight="1" spans="1:3">
      <c r="A452" s="9"/>
      <c r="B452" s="9"/>
      <c r="C452" s="9"/>
    </row>
    <row r="453" ht="15.75" customHeight="1" spans="1:3">
      <c r="A453" s="9"/>
      <c r="B453" s="9"/>
      <c r="C453" s="9"/>
    </row>
    <row r="454" ht="15.75" customHeight="1" spans="1:3">
      <c r="A454" s="9"/>
      <c r="B454" s="9"/>
      <c r="C454" s="9"/>
    </row>
    <row r="455" ht="15.75" customHeight="1" spans="1:3">
      <c r="A455" s="9"/>
      <c r="B455" s="9"/>
      <c r="C455" s="9"/>
    </row>
    <row r="456" ht="15.75" customHeight="1" spans="1:3">
      <c r="A456" s="9"/>
      <c r="B456" s="9"/>
      <c r="C456" s="9"/>
    </row>
    <row r="457" ht="15.75" customHeight="1" spans="1:3">
      <c r="A457" s="9"/>
      <c r="B457" s="9"/>
      <c r="C457" s="9"/>
    </row>
    <row r="458" ht="15.75" customHeight="1" spans="1:3">
      <c r="A458" s="9"/>
      <c r="B458" s="9"/>
      <c r="C458" s="9"/>
    </row>
    <row r="459" ht="15.75" customHeight="1" spans="1:3">
      <c r="A459" s="9"/>
      <c r="B459" s="9"/>
      <c r="C459" s="9"/>
    </row>
    <row r="460" ht="15.75" customHeight="1" spans="1:3">
      <c r="A460" s="9"/>
      <c r="B460" s="9"/>
      <c r="C460" s="9"/>
    </row>
    <row r="461" ht="15.75" customHeight="1" spans="1:3">
      <c r="A461" s="9"/>
      <c r="B461" s="9"/>
      <c r="C461" s="9"/>
    </row>
    <row r="462" ht="15.75" customHeight="1" spans="1:3">
      <c r="A462" s="9"/>
      <c r="B462" s="9"/>
      <c r="C462" s="9"/>
    </row>
    <row r="463" ht="15.75" customHeight="1" spans="1:3">
      <c r="A463" s="9"/>
      <c r="B463" s="9"/>
      <c r="C463" s="9"/>
    </row>
    <row r="464" ht="15.75" customHeight="1" spans="1:3">
      <c r="A464" s="9"/>
      <c r="B464" s="9"/>
      <c r="C464" s="9"/>
    </row>
    <row r="465" ht="15.75" customHeight="1" spans="1:3">
      <c r="A465" s="9"/>
      <c r="B465" s="9"/>
      <c r="C465" s="9"/>
    </row>
    <row r="466" ht="15.75" customHeight="1" spans="1:3">
      <c r="A466" s="9"/>
      <c r="B466" s="9"/>
      <c r="C466" s="9"/>
    </row>
    <row r="467" ht="15.75" customHeight="1" spans="1:3">
      <c r="A467" s="9"/>
      <c r="B467" s="9"/>
      <c r="C467" s="9"/>
    </row>
    <row r="468" ht="15.75" customHeight="1" spans="1:3">
      <c r="A468" s="9"/>
      <c r="B468" s="9"/>
      <c r="C468" s="9"/>
    </row>
    <row r="469" ht="15.75" customHeight="1" spans="1:3">
      <c r="A469" s="9"/>
      <c r="B469" s="9"/>
      <c r="C469" s="9"/>
    </row>
    <row r="470" ht="15.75" customHeight="1" spans="1:3">
      <c r="A470" s="9"/>
      <c r="B470" s="9"/>
      <c r="C470" s="9"/>
    </row>
    <row r="471" ht="15.75" customHeight="1" spans="1:3">
      <c r="A471" s="9"/>
      <c r="B471" s="9"/>
      <c r="C471" s="9"/>
    </row>
    <row r="472" ht="15.75" customHeight="1" spans="1:3">
      <c r="A472" s="9"/>
      <c r="B472" s="9"/>
      <c r="C472" s="9"/>
    </row>
    <row r="473" ht="15.75" customHeight="1" spans="1:3">
      <c r="A473" s="9"/>
      <c r="B473" s="9"/>
      <c r="C473" s="9"/>
    </row>
    <row r="474" ht="15.75" customHeight="1" spans="1:3">
      <c r="A474" s="9"/>
      <c r="B474" s="9"/>
      <c r="C474" s="9"/>
    </row>
    <row r="475" ht="15.75" customHeight="1" spans="1:3">
      <c r="A475" s="9"/>
      <c r="B475" s="9"/>
      <c r="C475" s="9"/>
    </row>
    <row r="476" ht="15.75" customHeight="1" spans="1:3">
      <c r="A476" s="9"/>
      <c r="B476" s="9"/>
      <c r="C476" s="9"/>
    </row>
    <row r="477" ht="15.75" customHeight="1" spans="1:3">
      <c r="A477" s="9"/>
      <c r="B477" s="9"/>
      <c r="C477" s="9"/>
    </row>
    <row r="478" ht="15.75" customHeight="1" spans="1:3">
      <c r="A478" s="9"/>
      <c r="B478" s="9"/>
      <c r="C478" s="9"/>
    </row>
    <row r="479" ht="15.75" customHeight="1" spans="1:3">
      <c r="A479" s="9"/>
      <c r="B479" s="9"/>
      <c r="C479" s="9"/>
    </row>
    <row r="480" ht="15.75" customHeight="1" spans="1:3">
      <c r="A480" s="9"/>
      <c r="B480" s="9"/>
      <c r="C480" s="9"/>
    </row>
    <row r="481" ht="15.75" customHeight="1" spans="1:3">
      <c r="A481" s="9"/>
      <c r="B481" s="9"/>
      <c r="C481" s="9"/>
    </row>
    <row r="482" ht="15.75" customHeight="1" spans="1:3">
      <c r="A482" s="9"/>
      <c r="B482" s="9"/>
      <c r="C482" s="9"/>
    </row>
    <row r="483" ht="15.75" customHeight="1" spans="1:3">
      <c r="A483" s="9"/>
      <c r="B483" s="9"/>
      <c r="C483" s="9"/>
    </row>
    <row r="484" ht="15.75" customHeight="1" spans="1:3">
      <c r="A484" s="9"/>
      <c r="B484" s="9"/>
      <c r="C484" s="9"/>
    </row>
    <row r="485" ht="15.75" customHeight="1" spans="1:3">
      <c r="A485" s="9"/>
      <c r="B485" s="9"/>
      <c r="C485" s="9"/>
    </row>
    <row r="486" ht="15.75" customHeight="1" spans="1:3">
      <c r="A486" s="9"/>
      <c r="B486" s="9"/>
      <c r="C486" s="9"/>
    </row>
    <row r="487" ht="15.75" customHeight="1" spans="1:3">
      <c r="A487" s="9"/>
      <c r="B487" s="9"/>
      <c r="C487" s="9"/>
    </row>
    <row r="488" ht="15.75" customHeight="1" spans="1:3">
      <c r="A488" s="9"/>
      <c r="B488" s="9"/>
      <c r="C488" s="9"/>
    </row>
    <row r="489" ht="15.75" customHeight="1" spans="1:3">
      <c r="A489" s="9"/>
      <c r="B489" s="9"/>
      <c r="C489" s="9"/>
    </row>
    <row r="490" ht="15.75" customHeight="1" spans="1:3">
      <c r="A490" s="9"/>
      <c r="B490" s="9"/>
      <c r="C490" s="9"/>
    </row>
    <row r="491" ht="15.75" customHeight="1" spans="1:3">
      <c r="A491" s="9"/>
      <c r="B491" s="9"/>
      <c r="C491" s="9"/>
    </row>
    <row r="492" ht="15.75" customHeight="1" spans="1:3">
      <c r="A492" s="9"/>
      <c r="B492" s="9"/>
      <c r="C492" s="9"/>
    </row>
    <row r="493" ht="15.75" customHeight="1" spans="1:3">
      <c r="A493" s="9"/>
      <c r="B493" s="9"/>
      <c r="C493" s="9"/>
    </row>
    <row r="494" ht="15.75" customHeight="1" spans="1:3">
      <c r="A494" s="9"/>
      <c r="B494" s="9"/>
      <c r="C494" s="9"/>
    </row>
    <row r="495" ht="15.75" customHeight="1" spans="1:3">
      <c r="A495" s="9"/>
      <c r="B495" s="9"/>
      <c r="C495" s="9"/>
    </row>
    <row r="496" ht="15.75" customHeight="1" spans="1:3">
      <c r="A496" s="9"/>
      <c r="B496" s="9"/>
      <c r="C496" s="9"/>
    </row>
    <row r="497" ht="15.75" customHeight="1" spans="1:3">
      <c r="A497" s="9"/>
      <c r="B497" s="9"/>
      <c r="C497" s="9"/>
    </row>
    <row r="498" ht="15.75" customHeight="1" spans="1:3">
      <c r="A498" s="9"/>
      <c r="B498" s="9"/>
      <c r="C498" s="9"/>
    </row>
    <row r="499" ht="15.75" customHeight="1" spans="1:3">
      <c r="A499" s="9"/>
      <c r="B499" s="9"/>
      <c r="C499" s="9"/>
    </row>
    <row r="500" ht="15.75" customHeight="1" spans="1:3">
      <c r="A500" s="9"/>
      <c r="B500" s="9"/>
      <c r="C500" s="9"/>
    </row>
    <row r="501" ht="15.75" customHeight="1" spans="1:3">
      <c r="A501" s="9"/>
      <c r="B501" s="9"/>
      <c r="C501" s="9"/>
    </row>
    <row r="502" ht="15.75" customHeight="1" spans="1:3">
      <c r="A502" s="9"/>
      <c r="B502" s="9"/>
      <c r="C502" s="9"/>
    </row>
    <row r="503" ht="15.75" customHeight="1" spans="1:3">
      <c r="A503" s="9"/>
      <c r="B503" s="9"/>
      <c r="C503" s="9"/>
    </row>
    <row r="504" ht="15.75" customHeight="1" spans="1:3">
      <c r="A504" s="9"/>
      <c r="B504" s="9"/>
      <c r="C504" s="9"/>
    </row>
    <row r="505" ht="15.75" customHeight="1" spans="1:3">
      <c r="A505" s="9"/>
      <c r="B505" s="9"/>
      <c r="C505" s="9"/>
    </row>
    <row r="506" ht="15.75" customHeight="1" spans="1:3">
      <c r="A506" s="9"/>
      <c r="B506" s="9"/>
      <c r="C506" s="9"/>
    </row>
    <row r="507" ht="15.75" customHeight="1" spans="1:3">
      <c r="A507" s="9"/>
      <c r="B507" s="9"/>
      <c r="C507" s="9"/>
    </row>
    <row r="508" ht="15.75" customHeight="1" spans="1:3">
      <c r="A508" s="9"/>
      <c r="B508" s="9"/>
      <c r="C508" s="9"/>
    </row>
    <row r="509" ht="15.75" customHeight="1" spans="1:3">
      <c r="A509" s="9"/>
      <c r="B509" s="9"/>
      <c r="C509" s="9"/>
    </row>
    <row r="510" ht="15.75" customHeight="1" spans="1:3">
      <c r="A510" s="9"/>
      <c r="B510" s="9"/>
      <c r="C510" s="9"/>
    </row>
    <row r="511" ht="15.75" customHeight="1" spans="1:3">
      <c r="A511" s="9"/>
      <c r="B511" s="9"/>
      <c r="C511" s="9"/>
    </row>
    <row r="512" ht="15.75" customHeight="1" spans="1:3">
      <c r="A512" s="9"/>
      <c r="B512" s="9"/>
      <c r="C512" s="9"/>
    </row>
    <row r="513" ht="15.75" customHeight="1" spans="1:3">
      <c r="A513" s="9"/>
      <c r="B513" s="9"/>
      <c r="C513" s="9"/>
    </row>
    <row r="514" ht="15.75" customHeight="1" spans="1:3">
      <c r="A514" s="9"/>
      <c r="B514" s="9"/>
      <c r="C514" s="9"/>
    </row>
    <row r="515" ht="15.75" customHeight="1" spans="1:3">
      <c r="A515" s="9"/>
      <c r="B515" s="9"/>
      <c r="C515" s="9"/>
    </row>
    <row r="516" ht="15.75" customHeight="1" spans="1:3">
      <c r="A516" s="9"/>
      <c r="B516" s="9"/>
      <c r="C516" s="9"/>
    </row>
    <row r="517" ht="15.75" customHeight="1" spans="1:3">
      <c r="A517" s="9"/>
      <c r="B517" s="9"/>
      <c r="C517" s="9"/>
    </row>
    <row r="518" ht="15.75" customHeight="1" spans="1:3">
      <c r="A518" s="9"/>
      <c r="B518" s="9"/>
      <c r="C518" s="9"/>
    </row>
    <row r="519" ht="15.75" customHeight="1" spans="1:3">
      <c r="A519" s="9"/>
      <c r="B519" s="9"/>
      <c r="C519" s="9"/>
    </row>
    <row r="520" ht="15.75" customHeight="1" spans="1:3">
      <c r="A520" s="9"/>
      <c r="B520" s="9"/>
      <c r="C520" s="9"/>
    </row>
    <row r="521" ht="15.75" customHeight="1" spans="1:3">
      <c r="A521" s="9"/>
      <c r="B521" s="9"/>
      <c r="C521" s="9"/>
    </row>
    <row r="522" ht="15.75" customHeight="1" spans="1:3">
      <c r="A522" s="9"/>
      <c r="B522" s="9"/>
      <c r="C522" s="9"/>
    </row>
    <row r="523" ht="15.75" customHeight="1" spans="1:3">
      <c r="A523" s="9"/>
      <c r="B523" s="9"/>
      <c r="C523" s="9"/>
    </row>
    <row r="524" ht="15.75" customHeight="1" spans="1:3">
      <c r="A524" s="9"/>
      <c r="B524" s="9"/>
      <c r="C524" s="9"/>
    </row>
    <row r="525" ht="15.75" customHeight="1" spans="1:3">
      <c r="A525" s="9"/>
      <c r="B525" s="9"/>
      <c r="C525" s="9"/>
    </row>
    <row r="526" ht="15.75" customHeight="1" spans="1:3">
      <c r="A526" s="9"/>
      <c r="B526" s="9"/>
      <c r="C526" s="9"/>
    </row>
    <row r="527" ht="15.75" customHeight="1" spans="1:3">
      <c r="A527" s="9"/>
      <c r="B527" s="9"/>
      <c r="C527" s="9"/>
    </row>
    <row r="528" ht="15.75" customHeight="1" spans="1:3">
      <c r="A528" s="9"/>
      <c r="B528" s="9"/>
      <c r="C528" s="9"/>
    </row>
    <row r="529" ht="15.75" customHeight="1" spans="1:3">
      <c r="A529" s="9"/>
      <c r="B529" s="9"/>
      <c r="C529" s="9"/>
    </row>
    <row r="530" ht="15.75" customHeight="1" spans="1:3">
      <c r="A530" s="9"/>
      <c r="B530" s="9"/>
      <c r="C530" s="9"/>
    </row>
    <row r="531" ht="15.75" customHeight="1" spans="1:3">
      <c r="A531" s="9"/>
      <c r="B531" s="9"/>
      <c r="C531" s="9"/>
    </row>
    <row r="532" ht="15.75" customHeight="1" spans="1:3">
      <c r="A532" s="9"/>
      <c r="B532" s="9"/>
      <c r="C532" s="9"/>
    </row>
    <row r="533" ht="15.75" customHeight="1" spans="1:3">
      <c r="A533" s="9"/>
      <c r="B533" s="9"/>
      <c r="C533" s="9"/>
    </row>
    <row r="534" ht="15.75" customHeight="1" spans="1:3">
      <c r="A534" s="9"/>
      <c r="B534" s="9"/>
      <c r="C534" s="9"/>
    </row>
    <row r="535" ht="15.75" customHeight="1" spans="1:3">
      <c r="A535" s="9"/>
      <c r="B535" s="9"/>
      <c r="C535" s="9"/>
    </row>
    <row r="536" ht="15.75" customHeight="1" spans="1:3">
      <c r="A536" s="9"/>
      <c r="B536" s="9"/>
      <c r="C536" s="9"/>
    </row>
    <row r="537" ht="15.75" customHeight="1" spans="1:3">
      <c r="A537" s="9"/>
      <c r="B537" s="9"/>
      <c r="C537" s="9"/>
    </row>
    <row r="538" ht="15.75" customHeight="1" spans="1:3">
      <c r="A538" s="9"/>
      <c r="B538" s="9"/>
      <c r="C538" s="9"/>
    </row>
    <row r="539" ht="15.75" customHeight="1" spans="1:3">
      <c r="A539" s="9"/>
      <c r="B539" s="9"/>
      <c r="C539" s="9"/>
    </row>
    <row r="540" ht="15.75" customHeight="1" spans="1:3">
      <c r="A540" s="9"/>
      <c r="B540" s="9"/>
      <c r="C540" s="9"/>
    </row>
    <row r="541" ht="15.75" customHeight="1" spans="1:3">
      <c r="A541" s="9"/>
      <c r="B541" s="9"/>
      <c r="C541" s="9"/>
    </row>
    <row r="542" ht="15.75" customHeight="1" spans="1:3">
      <c r="A542" s="9"/>
      <c r="B542" s="9"/>
      <c r="C542" s="9"/>
    </row>
    <row r="543" ht="15.75" customHeight="1" spans="1:3">
      <c r="A543" s="9"/>
      <c r="B543" s="9"/>
      <c r="C543" s="9"/>
    </row>
    <row r="544" ht="15.75" customHeight="1" spans="1:3">
      <c r="A544" s="9"/>
      <c r="B544" s="9"/>
      <c r="C544" s="9"/>
    </row>
    <row r="545" ht="15.75" customHeight="1" spans="1:3">
      <c r="A545" s="9"/>
      <c r="B545" s="9"/>
      <c r="C545" s="9"/>
    </row>
    <row r="546" ht="15.75" customHeight="1" spans="1:3">
      <c r="A546" s="9"/>
      <c r="B546" s="9"/>
      <c r="C546" s="9"/>
    </row>
    <row r="547" ht="15.75" customHeight="1" spans="1:3">
      <c r="A547" s="9"/>
      <c r="B547" s="9"/>
      <c r="C547" s="9"/>
    </row>
    <row r="548" ht="15.75" customHeight="1" spans="1:3">
      <c r="A548" s="9"/>
      <c r="B548" s="9"/>
      <c r="C548" s="9"/>
    </row>
    <row r="549" ht="15.75" customHeight="1" spans="1:3">
      <c r="A549" s="9"/>
      <c r="B549" s="9"/>
      <c r="C549" s="9"/>
    </row>
    <row r="550" ht="15.75" customHeight="1" spans="1:3">
      <c r="A550" s="9"/>
      <c r="B550" s="9"/>
      <c r="C550" s="9"/>
    </row>
    <row r="551" ht="15.75" customHeight="1" spans="1:3">
      <c r="A551" s="9"/>
      <c r="B551" s="9"/>
      <c r="C551" s="9"/>
    </row>
    <row r="552" ht="15.75" customHeight="1" spans="1:3">
      <c r="A552" s="9"/>
      <c r="B552" s="9"/>
      <c r="C552" s="9"/>
    </row>
    <row r="553" ht="15.75" customHeight="1" spans="1:3">
      <c r="A553" s="9"/>
      <c r="B553" s="9"/>
      <c r="C553" s="9"/>
    </row>
    <row r="554" ht="15.75" customHeight="1" spans="1:3">
      <c r="A554" s="9"/>
      <c r="B554" s="9"/>
      <c r="C554" s="9"/>
    </row>
    <row r="555" ht="15.75" customHeight="1" spans="1:3">
      <c r="A555" s="9"/>
      <c r="B555" s="9"/>
      <c r="C555" s="9"/>
    </row>
    <row r="556" ht="15.75" customHeight="1" spans="1:3">
      <c r="A556" s="9"/>
      <c r="B556" s="9"/>
      <c r="C556" s="9"/>
    </row>
    <row r="557" ht="15.75" customHeight="1" spans="1:3">
      <c r="A557" s="9"/>
      <c r="B557" s="9"/>
      <c r="C557" s="9"/>
    </row>
    <row r="558" ht="15.75" customHeight="1" spans="1:3">
      <c r="A558" s="9"/>
      <c r="B558" s="9"/>
      <c r="C558" s="9"/>
    </row>
    <row r="559" ht="15.75" customHeight="1" spans="1:3">
      <c r="A559" s="9"/>
      <c r="B559" s="9"/>
      <c r="C559" s="9"/>
    </row>
    <row r="560" ht="15.75" customHeight="1" spans="1:3">
      <c r="A560" s="9"/>
      <c r="B560" s="9"/>
      <c r="C560" s="9"/>
    </row>
    <row r="561" ht="15.75" customHeight="1" spans="1:3">
      <c r="A561" s="9"/>
      <c r="B561" s="9"/>
      <c r="C561" s="9"/>
    </row>
    <row r="562" ht="15.75" customHeight="1" spans="1:3">
      <c r="A562" s="9"/>
      <c r="B562" s="9"/>
      <c r="C562" s="9"/>
    </row>
    <row r="563" ht="15.75" customHeight="1" spans="1:3">
      <c r="A563" s="9"/>
      <c r="B563" s="9"/>
      <c r="C563" s="9"/>
    </row>
    <row r="564" ht="15.75" customHeight="1" spans="1:3">
      <c r="A564" s="9"/>
      <c r="B564" s="9"/>
      <c r="C564" s="9"/>
    </row>
    <row r="565" ht="15.75" customHeight="1" spans="1:3">
      <c r="A565" s="9"/>
      <c r="B565" s="9"/>
      <c r="C565" s="9"/>
    </row>
    <row r="566" ht="15.75" customHeight="1" spans="1:3">
      <c r="A566" s="9"/>
      <c r="B566" s="9"/>
      <c r="C566" s="9"/>
    </row>
    <row r="567" ht="15.75" customHeight="1" spans="1:3">
      <c r="A567" s="9"/>
      <c r="B567" s="9"/>
      <c r="C567" s="9"/>
    </row>
    <row r="568" ht="15.75" customHeight="1" spans="1:3">
      <c r="A568" s="9"/>
      <c r="B568" s="9"/>
      <c r="C568" s="9"/>
    </row>
    <row r="569" ht="15.75" customHeight="1" spans="1:3">
      <c r="A569" s="9"/>
      <c r="B569" s="9"/>
      <c r="C569" s="9"/>
    </row>
    <row r="570" ht="15.75" customHeight="1" spans="1:3">
      <c r="A570" s="9"/>
      <c r="B570" s="9"/>
      <c r="C570" s="9"/>
    </row>
    <row r="571" ht="15.75" customHeight="1" spans="1:3">
      <c r="A571" s="9"/>
      <c r="B571" s="9"/>
      <c r="C571" s="9"/>
    </row>
    <row r="572" ht="15.75" customHeight="1" spans="1:3">
      <c r="A572" s="9"/>
      <c r="B572" s="9"/>
      <c r="C572" s="9"/>
    </row>
    <row r="573" ht="15.75" customHeight="1" spans="1:3">
      <c r="A573" s="9"/>
      <c r="B573" s="9"/>
      <c r="C573" s="9"/>
    </row>
    <row r="574" ht="15.75" customHeight="1" spans="1:3">
      <c r="A574" s="9"/>
      <c r="B574" s="9"/>
      <c r="C574" s="9"/>
    </row>
    <row r="575" ht="15.75" customHeight="1" spans="1:3">
      <c r="A575" s="9"/>
      <c r="B575" s="9"/>
      <c r="C575" s="9"/>
    </row>
    <row r="576" ht="15.75" customHeight="1" spans="1:3">
      <c r="A576" s="9"/>
      <c r="B576" s="9"/>
      <c r="C576" s="9"/>
    </row>
    <row r="577" ht="15.75" customHeight="1" spans="1:3">
      <c r="A577" s="9"/>
      <c r="B577" s="9"/>
      <c r="C577" s="9"/>
    </row>
    <row r="578" ht="15.75" customHeight="1" spans="1:3">
      <c r="A578" s="9"/>
      <c r="B578" s="9"/>
      <c r="C578" s="9"/>
    </row>
    <row r="579" ht="15.75" customHeight="1" spans="1:3">
      <c r="A579" s="9"/>
      <c r="B579" s="9"/>
      <c r="C579" s="9"/>
    </row>
    <row r="580" ht="15.75" customHeight="1" spans="1:3">
      <c r="A580" s="9"/>
      <c r="B580" s="9"/>
      <c r="C580" s="9"/>
    </row>
    <row r="581" ht="15.75" customHeight="1" spans="1:3">
      <c r="A581" s="9"/>
      <c r="B581" s="9"/>
      <c r="C581" s="9"/>
    </row>
    <row r="582" ht="15.75" customHeight="1" spans="1:3">
      <c r="A582" s="9"/>
      <c r="B582" s="9"/>
      <c r="C582" s="9"/>
    </row>
    <row r="583" ht="15.75" customHeight="1" spans="1:3">
      <c r="A583" s="9"/>
      <c r="B583" s="9"/>
      <c r="C583" s="9"/>
    </row>
    <row r="584" ht="15.75" customHeight="1" spans="1:3">
      <c r="A584" s="9"/>
      <c r="B584" s="9"/>
      <c r="C584" s="9"/>
    </row>
    <row r="585" ht="15.75" customHeight="1" spans="1:3">
      <c r="A585" s="9"/>
      <c r="B585" s="9"/>
      <c r="C585" s="9"/>
    </row>
    <row r="586" ht="15.75" customHeight="1" spans="1:3">
      <c r="A586" s="9"/>
      <c r="B586" s="9"/>
      <c r="C586" s="9"/>
    </row>
    <row r="587" ht="15.75" customHeight="1" spans="1:3">
      <c r="A587" s="9"/>
      <c r="B587" s="9"/>
      <c r="C587" s="9"/>
    </row>
    <row r="588" ht="15.75" customHeight="1" spans="1:3">
      <c r="A588" s="9"/>
      <c r="B588" s="9"/>
      <c r="C588" s="9"/>
    </row>
    <row r="589" ht="15.75" customHeight="1" spans="1:3">
      <c r="A589" s="9"/>
      <c r="B589" s="9"/>
      <c r="C589" s="9"/>
    </row>
    <row r="590" ht="15.75" customHeight="1" spans="1:3">
      <c r="A590" s="9"/>
      <c r="B590" s="9"/>
      <c r="C590" s="9"/>
    </row>
    <row r="591" ht="15.75" customHeight="1" spans="1:3">
      <c r="A591" s="9"/>
      <c r="B591" s="9"/>
      <c r="C591" s="9"/>
    </row>
    <row r="592" ht="15.75" customHeight="1" spans="1:3">
      <c r="A592" s="9"/>
      <c r="B592" s="9"/>
      <c r="C592" s="9"/>
    </row>
    <row r="593" ht="15.75" customHeight="1" spans="1:3">
      <c r="A593" s="9"/>
      <c r="B593" s="9"/>
      <c r="C593" s="9"/>
    </row>
    <row r="594" ht="15.75" customHeight="1" spans="1:3">
      <c r="A594" s="9"/>
      <c r="B594" s="9"/>
      <c r="C594" s="9"/>
    </row>
    <row r="595" ht="15.75" customHeight="1" spans="1:3">
      <c r="A595" s="9"/>
      <c r="B595" s="9"/>
      <c r="C595" s="9"/>
    </row>
    <row r="596" ht="15.75" customHeight="1" spans="1:3">
      <c r="A596" s="9"/>
      <c r="B596" s="9"/>
      <c r="C596" s="9"/>
    </row>
    <row r="597" ht="15.75" customHeight="1" spans="1:3">
      <c r="A597" s="9"/>
      <c r="B597" s="9"/>
      <c r="C597" s="9"/>
    </row>
    <row r="598" ht="15.75" customHeight="1" spans="1:3">
      <c r="A598" s="9"/>
      <c r="B598" s="9"/>
      <c r="C598" s="9"/>
    </row>
    <row r="599" ht="15.75" customHeight="1" spans="1:3">
      <c r="A599" s="9"/>
      <c r="B599" s="9"/>
      <c r="C599" s="9"/>
    </row>
    <row r="600" ht="15.75" customHeight="1" spans="1:3">
      <c r="A600" s="9"/>
      <c r="B600" s="9"/>
      <c r="C600" s="9"/>
    </row>
    <row r="601" ht="15.75" customHeight="1" spans="1:3">
      <c r="A601" s="9"/>
      <c r="B601" s="9"/>
      <c r="C601" s="9"/>
    </row>
    <row r="602" ht="15.75" customHeight="1" spans="1:3">
      <c r="A602" s="9"/>
      <c r="B602" s="9"/>
      <c r="C602" s="9"/>
    </row>
    <row r="603" ht="15.75" customHeight="1" spans="1:3">
      <c r="A603" s="9"/>
      <c r="B603" s="9"/>
      <c r="C603" s="9"/>
    </row>
    <row r="604" ht="15.75" customHeight="1" spans="1:3">
      <c r="A604" s="9"/>
      <c r="B604" s="9"/>
      <c r="C604" s="9"/>
    </row>
    <row r="605" ht="15.75" customHeight="1" spans="1:3">
      <c r="A605" s="9"/>
      <c r="B605" s="9"/>
      <c r="C605" s="9"/>
    </row>
    <row r="606" ht="15.75" customHeight="1" spans="1:3">
      <c r="A606" s="9"/>
      <c r="B606" s="9"/>
      <c r="C606" s="9"/>
    </row>
    <row r="607" ht="15.75" customHeight="1" spans="1:3">
      <c r="A607" s="9"/>
      <c r="B607" s="9"/>
      <c r="C607" s="9"/>
    </row>
    <row r="608" ht="15.75" customHeight="1" spans="1:3">
      <c r="A608" s="9"/>
      <c r="B608" s="9"/>
      <c r="C608" s="9"/>
    </row>
    <row r="609" ht="15.75" customHeight="1" spans="1:3">
      <c r="A609" s="9"/>
      <c r="B609" s="9"/>
      <c r="C609" s="9"/>
    </row>
    <row r="610" ht="15.75" customHeight="1" spans="1:3">
      <c r="A610" s="9"/>
      <c r="B610" s="9"/>
      <c r="C610" s="9"/>
    </row>
    <row r="611" ht="15.75" customHeight="1" spans="1:3">
      <c r="A611" s="9"/>
      <c r="B611" s="9"/>
      <c r="C611" s="9"/>
    </row>
    <row r="612" ht="15.75" customHeight="1" spans="1:3">
      <c r="A612" s="9"/>
      <c r="B612" s="9"/>
      <c r="C612" s="9"/>
    </row>
    <row r="613" ht="15.75" customHeight="1" spans="1:3">
      <c r="A613" s="9"/>
      <c r="B613" s="9"/>
      <c r="C613" s="9"/>
    </row>
    <row r="614" ht="15.75" customHeight="1" spans="1:3">
      <c r="A614" s="9"/>
      <c r="B614" s="9"/>
      <c r="C614" s="9"/>
    </row>
    <row r="615" ht="15.75" customHeight="1" spans="1:3">
      <c r="A615" s="9"/>
      <c r="B615" s="9"/>
      <c r="C615" s="9"/>
    </row>
    <row r="616" ht="15.75" customHeight="1" spans="1:3">
      <c r="A616" s="9"/>
      <c r="B616" s="9"/>
      <c r="C616" s="9"/>
    </row>
    <row r="617" ht="15.75" customHeight="1" spans="1:3">
      <c r="A617" s="9"/>
      <c r="B617" s="9"/>
      <c r="C617" s="9"/>
    </row>
    <row r="618" ht="15.75" customHeight="1" spans="1:3">
      <c r="A618" s="9"/>
      <c r="B618" s="9"/>
      <c r="C618" s="9"/>
    </row>
    <row r="619" ht="15.75" customHeight="1" spans="1:3">
      <c r="A619" s="9"/>
      <c r="B619" s="9"/>
      <c r="C619" s="9"/>
    </row>
    <row r="620" ht="15.75" customHeight="1" spans="1:3">
      <c r="A620" s="9"/>
      <c r="B620" s="9"/>
      <c r="C620" s="9"/>
    </row>
    <row r="621" ht="15.75" customHeight="1" spans="1:3">
      <c r="A621" s="9"/>
      <c r="B621" s="9"/>
      <c r="C621" s="9"/>
    </row>
    <row r="622" ht="15.75" customHeight="1" spans="1:3">
      <c r="A622" s="9"/>
      <c r="B622" s="9"/>
      <c r="C622" s="9"/>
    </row>
    <row r="623" ht="15.75" customHeight="1" spans="1:3">
      <c r="A623" s="9"/>
      <c r="B623" s="9"/>
      <c r="C623" s="9"/>
    </row>
    <row r="624" ht="15.75" customHeight="1" spans="1:3">
      <c r="A624" s="9"/>
      <c r="B624" s="9"/>
      <c r="C624" s="9"/>
    </row>
    <row r="625" ht="15.75" customHeight="1" spans="1:3">
      <c r="A625" s="9"/>
      <c r="B625" s="9"/>
      <c r="C625" s="9"/>
    </row>
    <row r="626" ht="15.75" customHeight="1" spans="1:3">
      <c r="A626" s="9"/>
      <c r="B626" s="9"/>
      <c r="C626" s="9"/>
    </row>
    <row r="627" ht="15.75" customHeight="1" spans="1:3">
      <c r="A627" s="9"/>
      <c r="B627" s="9"/>
      <c r="C627" s="9"/>
    </row>
    <row r="628" ht="15.75" customHeight="1" spans="1:3">
      <c r="A628" s="9"/>
      <c r="B628" s="9"/>
      <c r="C628" s="9"/>
    </row>
    <row r="629" ht="15.75" customHeight="1" spans="1:3">
      <c r="A629" s="9"/>
      <c r="B629" s="9"/>
      <c r="C629" s="9"/>
    </row>
    <row r="630" ht="15.75" customHeight="1" spans="1:3">
      <c r="A630" s="9"/>
      <c r="B630" s="9"/>
      <c r="C630" s="9"/>
    </row>
    <row r="631" ht="15.75" customHeight="1" spans="1:3">
      <c r="A631" s="9"/>
      <c r="B631" s="9"/>
      <c r="C631" s="9"/>
    </row>
    <row r="632" ht="15.75" customHeight="1" spans="1:3">
      <c r="A632" s="9"/>
      <c r="B632" s="9"/>
      <c r="C632" s="9"/>
    </row>
    <row r="633" ht="15.75" customHeight="1" spans="1:3">
      <c r="A633" s="9"/>
      <c r="B633" s="9"/>
      <c r="C633" s="9"/>
    </row>
    <row r="634" ht="15.75" customHeight="1" spans="1:3">
      <c r="A634" s="9"/>
      <c r="B634" s="9"/>
      <c r="C634" s="9"/>
    </row>
    <row r="635" ht="15.75" customHeight="1" spans="1:3">
      <c r="A635" s="9"/>
      <c r="B635" s="9"/>
      <c r="C635" s="9"/>
    </row>
    <row r="636" ht="15.75" customHeight="1" spans="1:3">
      <c r="A636" s="9"/>
      <c r="B636" s="9"/>
      <c r="C636" s="9"/>
    </row>
    <row r="637" ht="15.75" customHeight="1" spans="1:3">
      <c r="A637" s="9"/>
      <c r="B637" s="9"/>
      <c r="C637" s="9"/>
    </row>
    <row r="638" ht="15.75" customHeight="1" spans="1:3">
      <c r="A638" s="9"/>
      <c r="B638" s="9"/>
      <c r="C638" s="9"/>
    </row>
    <row r="639" ht="15.75" customHeight="1" spans="1:3">
      <c r="A639" s="9"/>
      <c r="B639" s="9"/>
      <c r="C639" s="9"/>
    </row>
    <row r="640" ht="15.75" customHeight="1" spans="1:3">
      <c r="A640" s="9"/>
      <c r="B640" s="9"/>
      <c r="C640" s="9"/>
    </row>
    <row r="641" ht="15.75" customHeight="1" spans="1:3">
      <c r="A641" s="9"/>
      <c r="B641" s="9"/>
      <c r="C641" s="9"/>
    </row>
    <row r="642" ht="15.75" customHeight="1" spans="1:3">
      <c r="A642" s="9"/>
      <c r="B642" s="9"/>
      <c r="C642" s="9"/>
    </row>
    <row r="643" ht="15.75" customHeight="1" spans="1:3">
      <c r="A643" s="9"/>
      <c r="B643" s="9"/>
      <c r="C643" s="9"/>
    </row>
    <row r="644" ht="15.75" customHeight="1" spans="1:3">
      <c r="A644" s="9"/>
      <c r="B644" s="9"/>
      <c r="C644" s="9"/>
    </row>
    <row r="645" ht="15.75" customHeight="1" spans="1:3">
      <c r="A645" s="9"/>
      <c r="B645" s="9"/>
      <c r="C645" s="9"/>
    </row>
    <row r="646" ht="15.75" customHeight="1" spans="1:3">
      <c r="A646" s="9"/>
      <c r="B646" s="9"/>
      <c r="C646" s="9"/>
    </row>
    <row r="647" ht="15.75" customHeight="1" spans="1:3">
      <c r="A647" s="9"/>
      <c r="B647" s="9"/>
      <c r="C647" s="9"/>
    </row>
    <row r="648" ht="15.75" customHeight="1" spans="1:3">
      <c r="A648" s="9"/>
      <c r="B648" s="9"/>
      <c r="C648" s="9"/>
    </row>
    <row r="649" ht="15.75" customHeight="1" spans="1:3">
      <c r="A649" s="9"/>
      <c r="B649" s="9"/>
      <c r="C649" s="9"/>
    </row>
    <row r="650" ht="15.75" customHeight="1" spans="1:3">
      <c r="A650" s="9"/>
      <c r="B650" s="9"/>
      <c r="C650" s="9"/>
    </row>
    <row r="651" ht="15.75" customHeight="1" spans="1:3">
      <c r="A651" s="9"/>
      <c r="B651" s="9"/>
      <c r="C651" s="9"/>
    </row>
    <row r="652" ht="15.75" customHeight="1" spans="1:3">
      <c r="A652" s="9"/>
      <c r="B652" s="9"/>
      <c r="C652" s="9"/>
    </row>
    <row r="653" ht="15.75" customHeight="1" spans="1:3">
      <c r="A653" s="9"/>
      <c r="B653" s="9"/>
      <c r="C653" s="9"/>
    </row>
    <row r="654" ht="15.75" customHeight="1" spans="1:3">
      <c r="A654" s="9"/>
      <c r="B654" s="9"/>
      <c r="C654" s="9"/>
    </row>
    <row r="655" ht="15.75" customHeight="1" spans="1:3">
      <c r="A655" s="9"/>
      <c r="B655" s="9"/>
      <c r="C655" s="9"/>
    </row>
    <row r="656" ht="15.75" customHeight="1" spans="1:3">
      <c r="A656" s="9"/>
      <c r="B656" s="9"/>
      <c r="C656" s="9"/>
    </row>
    <row r="657" ht="15.75" customHeight="1" spans="1:3">
      <c r="A657" s="9"/>
      <c r="B657" s="9"/>
      <c r="C657" s="9"/>
    </row>
    <row r="658" ht="15.75" customHeight="1" spans="1:3">
      <c r="A658" s="9"/>
      <c r="B658" s="9"/>
      <c r="C658" s="9"/>
    </row>
    <row r="659" ht="15.75" customHeight="1" spans="1:3">
      <c r="A659" s="9"/>
      <c r="B659" s="9"/>
      <c r="C659" s="9"/>
    </row>
    <row r="660" ht="15.75" customHeight="1" spans="1:3">
      <c r="A660" s="9"/>
      <c r="B660" s="9"/>
      <c r="C660" s="9"/>
    </row>
    <row r="661" ht="15.75" customHeight="1" spans="1:3">
      <c r="A661" s="9"/>
      <c r="B661" s="9"/>
      <c r="C661" s="9"/>
    </row>
    <row r="662" ht="15.75" customHeight="1" spans="1:3">
      <c r="A662" s="9"/>
      <c r="B662" s="9"/>
      <c r="C662" s="9"/>
    </row>
    <row r="663" ht="15.75" customHeight="1" spans="1:3">
      <c r="A663" s="9"/>
      <c r="B663" s="9"/>
      <c r="C663" s="9"/>
    </row>
    <row r="664" ht="15.75" customHeight="1" spans="1:3">
      <c r="A664" s="9"/>
      <c r="B664" s="9"/>
      <c r="C664" s="9"/>
    </row>
    <row r="665" ht="15.75" customHeight="1" spans="1:3">
      <c r="A665" s="9"/>
      <c r="B665" s="9"/>
      <c r="C665" s="9"/>
    </row>
    <row r="666" ht="15.75" customHeight="1" spans="1:3">
      <c r="A666" s="9"/>
      <c r="B666" s="9"/>
      <c r="C666" s="9"/>
    </row>
    <row r="667" ht="15.75" customHeight="1" spans="1:3">
      <c r="A667" s="9"/>
      <c r="B667" s="9"/>
      <c r="C667" s="9"/>
    </row>
    <row r="668" ht="15.75" customHeight="1" spans="1:3">
      <c r="A668" s="9"/>
      <c r="B668" s="9"/>
      <c r="C668" s="9"/>
    </row>
    <row r="669" ht="15.75" customHeight="1" spans="1:3">
      <c r="A669" s="9"/>
      <c r="B669" s="9"/>
      <c r="C669" s="9"/>
    </row>
    <row r="670" ht="15.75" customHeight="1" spans="1:3">
      <c r="A670" s="9"/>
      <c r="B670" s="9"/>
      <c r="C670" s="9"/>
    </row>
    <row r="671" ht="15.75" customHeight="1" spans="1:3">
      <c r="A671" s="9"/>
      <c r="B671" s="9"/>
      <c r="C671" s="9"/>
    </row>
    <row r="672" ht="15.75" customHeight="1" spans="1:3">
      <c r="A672" s="9"/>
      <c r="B672" s="9"/>
      <c r="C672" s="9"/>
    </row>
    <row r="673" ht="15.75" customHeight="1" spans="1:3">
      <c r="A673" s="9"/>
      <c r="B673" s="9"/>
      <c r="C673" s="9"/>
    </row>
    <row r="674" ht="15.75" customHeight="1" spans="1:3">
      <c r="A674" s="9"/>
      <c r="B674" s="9"/>
      <c r="C674" s="9"/>
    </row>
    <row r="675" ht="15.75" customHeight="1" spans="1:3">
      <c r="A675" s="9"/>
      <c r="B675" s="9"/>
      <c r="C675" s="9"/>
    </row>
    <row r="676" ht="15.75" customHeight="1" spans="1:3">
      <c r="A676" s="9"/>
      <c r="B676" s="9"/>
      <c r="C676" s="9"/>
    </row>
    <row r="677" ht="15.75" customHeight="1" spans="1:3">
      <c r="A677" s="9"/>
      <c r="B677" s="9"/>
      <c r="C677" s="9"/>
    </row>
    <row r="678" ht="15.75" customHeight="1" spans="1:3">
      <c r="A678" s="9"/>
      <c r="B678" s="9"/>
      <c r="C678" s="9"/>
    </row>
    <row r="679" ht="15.75" customHeight="1" spans="1:3">
      <c r="A679" s="9"/>
      <c r="B679" s="9"/>
      <c r="C679" s="9"/>
    </row>
    <row r="680" ht="15.75" customHeight="1" spans="1:3">
      <c r="A680" s="9"/>
      <c r="B680" s="9"/>
      <c r="C680" s="9"/>
    </row>
    <row r="681" ht="15.75" customHeight="1" spans="1:3">
      <c r="A681" s="9"/>
      <c r="B681" s="9"/>
      <c r="C681" s="9"/>
    </row>
    <row r="682" ht="15.75" customHeight="1" spans="1:3">
      <c r="A682" s="9"/>
      <c r="B682" s="9"/>
      <c r="C682" s="9"/>
    </row>
    <row r="683" ht="15.75" customHeight="1" spans="1:3">
      <c r="A683" s="9"/>
      <c r="B683" s="9"/>
      <c r="C683" s="9"/>
    </row>
    <row r="684" ht="15.75" customHeight="1" spans="1:3">
      <c r="A684" s="9"/>
      <c r="B684" s="9"/>
      <c r="C684" s="9"/>
    </row>
    <row r="685" ht="15.75" customHeight="1" spans="1:3">
      <c r="A685" s="9"/>
      <c r="B685" s="9"/>
      <c r="C685" s="9"/>
    </row>
    <row r="686" ht="15.75" customHeight="1" spans="1:3">
      <c r="A686" s="9"/>
      <c r="B686" s="9"/>
      <c r="C686" s="9"/>
    </row>
    <row r="687" ht="15.75" customHeight="1" spans="1:3">
      <c r="A687" s="9"/>
      <c r="B687" s="9"/>
      <c r="C687" s="9"/>
    </row>
    <row r="688" ht="15.75" customHeight="1" spans="1:3">
      <c r="A688" s="9"/>
      <c r="B688" s="9"/>
      <c r="C688" s="9"/>
    </row>
    <row r="689" ht="15.75" customHeight="1" spans="1:3">
      <c r="A689" s="9"/>
      <c r="B689" s="9"/>
      <c r="C689" s="9"/>
    </row>
    <row r="690" ht="15.75" customHeight="1" spans="1:3">
      <c r="A690" s="9"/>
      <c r="B690" s="9"/>
      <c r="C690" s="9"/>
    </row>
    <row r="691" ht="15.75" customHeight="1" spans="1:3">
      <c r="A691" s="9"/>
      <c r="B691" s="9"/>
      <c r="C691" s="9"/>
    </row>
    <row r="692" ht="15.75" customHeight="1" spans="1:3">
      <c r="A692" s="9"/>
      <c r="B692" s="9"/>
      <c r="C692" s="9"/>
    </row>
    <row r="693" ht="15.75" customHeight="1" spans="1:3">
      <c r="A693" s="9"/>
      <c r="B693" s="9"/>
      <c r="C693" s="9"/>
    </row>
    <row r="694" ht="15.75" customHeight="1" spans="1:3">
      <c r="A694" s="9"/>
      <c r="B694" s="9"/>
      <c r="C694" s="9"/>
    </row>
    <row r="695" ht="15.75" customHeight="1" spans="1:3">
      <c r="A695" s="9"/>
      <c r="B695" s="9"/>
      <c r="C695" s="9"/>
    </row>
    <row r="696" ht="15.75" customHeight="1" spans="1:3">
      <c r="A696" s="9"/>
      <c r="B696" s="9"/>
      <c r="C696" s="9"/>
    </row>
    <row r="697" ht="15.75" customHeight="1" spans="1:3">
      <c r="A697" s="9"/>
      <c r="B697" s="9"/>
      <c r="C697" s="9"/>
    </row>
    <row r="698" ht="15.75" customHeight="1" spans="1:3">
      <c r="A698" s="9"/>
      <c r="B698" s="9"/>
      <c r="C698" s="9"/>
    </row>
    <row r="699" ht="15.75" customHeight="1" spans="1:3">
      <c r="A699" s="9"/>
      <c r="B699" s="9"/>
      <c r="C699" s="9"/>
    </row>
    <row r="700" ht="15.75" customHeight="1" spans="1:3">
      <c r="A700" s="9"/>
      <c r="B700" s="9"/>
      <c r="C700" s="9"/>
    </row>
    <row r="701" ht="15.75" customHeight="1" spans="1:3">
      <c r="A701" s="9"/>
      <c r="B701" s="9"/>
      <c r="C701" s="9"/>
    </row>
    <row r="702" ht="15.75" customHeight="1" spans="1:3">
      <c r="A702" s="9"/>
      <c r="B702" s="9"/>
      <c r="C702" s="9"/>
    </row>
    <row r="703" ht="15.75" customHeight="1" spans="1:3">
      <c r="A703" s="9"/>
      <c r="B703" s="9"/>
      <c r="C703" s="9"/>
    </row>
    <row r="704" ht="15.75" customHeight="1" spans="1:3">
      <c r="A704" s="9"/>
      <c r="B704" s="9"/>
      <c r="C704" s="9"/>
    </row>
    <row r="705" ht="15.75" customHeight="1" spans="1:3">
      <c r="A705" s="9"/>
      <c r="B705" s="9"/>
      <c r="C705" s="9"/>
    </row>
    <row r="706" ht="15.75" customHeight="1" spans="1:3">
      <c r="A706" s="9"/>
      <c r="B706" s="9"/>
      <c r="C706" s="9"/>
    </row>
    <row r="707" ht="15.75" customHeight="1" spans="1:3">
      <c r="A707" s="9"/>
      <c r="B707" s="9"/>
      <c r="C707" s="9"/>
    </row>
    <row r="708" ht="15.75" customHeight="1" spans="1:3">
      <c r="A708" s="9"/>
      <c r="B708" s="9"/>
      <c r="C708" s="9"/>
    </row>
    <row r="709" ht="15.75" customHeight="1" spans="1:3">
      <c r="A709" s="9"/>
      <c r="B709" s="9"/>
      <c r="C709" s="9"/>
    </row>
    <row r="710" ht="15.75" customHeight="1" spans="1:3">
      <c r="A710" s="9"/>
      <c r="B710" s="9"/>
      <c r="C710" s="9"/>
    </row>
    <row r="711" ht="15.75" customHeight="1" spans="1:3">
      <c r="A711" s="9"/>
      <c r="B711" s="9"/>
      <c r="C711" s="9"/>
    </row>
    <row r="712" ht="15.75" customHeight="1" spans="1:3">
      <c r="A712" s="9"/>
      <c r="B712" s="9"/>
      <c r="C712" s="9"/>
    </row>
    <row r="713" ht="15.75" customHeight="1" spans="1:3">
      <c r="A713" s="9"/>
      <c r="B713" s="9"/>
      <c r="C713" s="9"/>
    </row>
    <row r="714" ht="15.75" customHeight="1" spans="1:3">
      <c r="A714" s="9"/>
      <c r="B714" s="9"/>
      <c r="C714" s="9"/>
    </row>
    <row r="715" ht="15.75" customHeight="1" spans="1:3">
      <c r="A715" s="9"/>
      <c r="B715" s="9"/>
      <c r="C715" s="9"/>
    </row>
    <row r="716" ht="15.75" customHeight="1" spans="1:3">
      <c r="A716" s="9"/>
      <c r="B716" s="9"/>
      <c r="C716" s="9"/>
    </row>
    <row r="717" ht="15.75" customHeight="1" spans="1:3">
      <c r="A717" s="9"/>
      <c r="B717" s="9"/>
      <c r="C717" s="9"/>
    </row>
    <row r="718" ht="15.75" customHeight="1" spans="1:3">
      <c r="A718" s="9"/>
      <c r="B718" s="9"/>
      <c r="C718" s="9"/>
    </row>
    <row r="719" ht="15.75" customHeight="1" spans="1:3">
      <c r="A719" s="9"/>
      <c r="B719" s="9"/>
      <c r="C719" s="9"/>
    </row>
    <row r="720" ht="15.75" customHeight="1" spans="1:3">
      <c r="A720" s="9"/>
      <c r="B720" s="9"/>
      <c r="C720" s="9"/>
    </row>
    <row r="721" ht="15.75" customHeight="1" spans="1:3">
      <c r="A721" s="9"/>
      <c r="B721" s="9"/>
      <c r="C721" s="9"/>
    </row>
    <row r="722" ht="15.75" customHeight="1" spans="1:3">
      <c r="A722" s="9"/>
      <c r="B722" s="9"/>
      <c r="C722" s="9"/>
    </row>
    <row r="723" ht="15.75" customHeight="1" spans="1:3">
      <c r="A723" s="9"/>
      <c r="B723" s="9"/>
      <c r="C723" s="9"/>
    </row>
    <row r="724" ht="15.75" customHeight="1" spans="1:3">
      <c r="A724" s="9"/>
      <c r="B724" s="9"/>
      <c r="C724" s="9"/>
    </row>
    <row r="725" ht="15.75" customHeight="1" spans="1:3">
      <c r="A725" s="9"/>
      <c r="B725" s="9"/>
      <c r="C725" s="9"/>
    </row>
    <row r="726" ht="15.75" customHeight="1" spans="1:3">
      <c r="A726" s="9"/>
      <c r="B726" s="9"/>
      <c r="C726" s="9"/>
    </row>
    <row r="727" ht="15.75" customHeight="1" spans="1:3">
      <c r="A727" s="9"/>
      <c r="B727" s="9"/>
      <c r="C727" s="9"/>
    </row>
    <row r="728" ht="15.75" customHeight="1" spans="1:3">
      <c r="A728" s="9"/>
      <c r="B728" s="9"/>
      <c r="C728" s="9"/>
    </row>
    <row r="729" ht="15.75" customHeight="1" spans="1:3">
      <c r="A729" s="9"/>
      <c r="B729" s="9"/>
      <c r="C729" s="9"/>
    </row>
    <row r="730" ht="15.75" customHeight="1" spans="1:3">
      <c r="A730" s="9"/>
      <c r="B730" s="9"/>
      <c r="C730" s="9"/>
    </row>
    <row r="731" ht="15.75" customHeight="1" spans="1:3">
      <c r="A731" s="9"/>
      <c r="B731" s="9"/>
      <c r="C731" s="9"/>
    </row>
    <row r="732" ht="15.75" customHeight="1" spans="1:3">
      <c r="A732" s="9"/>
      <c r="B732" s="9"/>
      <c r="C732" s="9"/>
    </row>
    <row r="733" ht="15.75" customHeight="1" spans="1:3">
      <c r="A733" s="9"/>
      <c r="B733" s="9"/>
      <c r="C733" s="9"/>
    </row>
    <row r="734" ht="15.75" customHeight="1" spans="1:3">
      <c r="A734" s="9"/>
      <c r="B734" s="9"/>
      <c r="C734" s="9"/>
    </row>
    <row r="735" ht="15.75" customHeight="1" spans="1:3">
      <c r="A735" s="9"/>
      <c r="B735" s="9"/>
      <c r="C735" s="9"/>
    </row>
    <row r="736" ht="15.75" customHeight="1" spans="1:3">
      <c r="A736" s="9"/>
      <c r="B736" s="9"/>
      <c r="C736" s="9"/>
    </row>
    <row r="737" ht="15.75" customHeight="1" spans="1:3">
      <c r="A737" s="9"/>
      <c r="B737" s="9"/>
      <c r="C737" s="9"/>
    </row>
    <row r="738" ht="15.75" customHeight="1" spans="1:3">
      <c r="A738" s="9"/>
      <c r="B738" s="9"/>
      <c r="C738" s="9"/>
    </row>
    <row r="739" ht="15.75" customHeight="1" spans="1:3">
      <c r="A739" s="9"/>
      <c r="B739" s="9"/>
      <c r="C739" s="9"/>
    </row>
    <row r="740" ht="15.75" customHeight="1" spans="1:3">
      <c r="A740" s="9"/>
      <c r="B740" s="9"/>
      <c r="C740" s="9"/>
    </row>
    <row r="741" ht="15.75" customHeight="1" spans="1:3">
      <c r="A741" s="9"/>
      <c r="B741" s="9"/>
      <c r="C741" s="9"/>
    </row>
    <row r="742" ht="15.75" customHeight="1" spans="1:3">
      <c r="A742" s="9"/>
      <c r="B742" s="9"/>
      <c r="C742" s="9"/>
    </row>
    <row r="743" ht="15.75" customHeight="1" spans="1:3">
      <c r="A743" s="9"/>
      <c r="B743" s="9"/>
      <c r="C743" s="9"/>
    </row>
    <row r="744" ht="15.75" customHeight="1" spans="1:3">
      <c r="A744" s="9"/>
      <c r="B744" s="9"/>
      <c r="C744" s="9"/>
    </row>
    <row r="745" ht="15.75" customHeight="1" spans="1:3">
      <c r="A745" s="9"/>
      <c r="B745" s="9"/>
      <c r="C745" s="9"/>
    </row>
    <row r="746" ht="15.75" customHeight="1" spans="1:3">
      <c r="A746" s="9"/>
      <c r="B746" s="9"/>
      <c r="C746" s="9"/>
    </row>
    <row r="747" ht="15.75" customHeight="1" spans="1:3">
      <c r="A747" s="9"/>
      <c r="B747" s="9"/>
      <c r="C747" s="9"/>
    </row>
    <row r="748" ht="15.75" customHeight="1" spans="1:3">
      <c r="A748" s="9"/>
      <c r="B748" s="9"/>
      <c r="C748" s="9"/>
    </row>
    <row r="749" ht="15.75" customHeight="1" spans="1:3">
      <c r="A749" s="9"/>
      <c r="B749" s="9"/>
      <c r="C749" s="9"/>
    </row>
    <row r="750" ht="15.75" customHeight="1" spans="1:3">
      <c r="A750" s="9"/>
      <c r="B750" s="9"/>
      <c r="C750" s="9"/>
    </row>
    <row r="751" ht="15.75" customHeight="1" spans="1:3">
      <c r="A751" s="9"/>
      <c r="B751" s="9"/>
      <c r="C751" s="9"/>
    </row>
    <row r="752" ht="15.75" customHeight="1" spans="1:3">
      <c r="A752" s="9"/>
      <c r="B752" s="9"/>
      <c r="C752" s="9"/>
    </row>
    <row r="753" ht="15.75" customHeight="1" spans="1:3">
      <c r="A753" s="9"/>
      <c r="B753" s="9"/>
      <c r="C753" s="9"/>
    </row>
    <row r="754" ht="15.75" customHeight="1" spans="1:3">
      <c r="A754" s="9"/>
      <c r="B754" s="9"/>
      <c r="C754" s="9"/>
    </row>
    <row r="755" ht="15.75" customHeight="1" spans="1:3">
      <c r="A755" s="9"/>
      <c r="B755" s="9"/>
      <c r="C755" s="9"/>
    </row>
    <row r="756" ht="15.75" customHeight="1" spans="1:3">
      <c r="A756" s="9"/>
      <c r="B756" s="9"/>
      <c r="C756" s="9"/>
    </row>
    <row r="757" ht="15.75" customHeight="1" spans="1:3">
      <c r="A757" s="9"/>
      <c r="B757" s="9"/>
      <c r="C757" s="9"/>
    </row>
    <row r="758" ht="15.75" customHeight="1" spans="1:3">
      <c r="A758" s="9"/>
      <c r="B758" s="9"/>
      <c r="C758" s="9"/>
    </row>
    <row r="759" ht="15.75" customHeight="1" spans="1:3">
      <c r="A759" s="9"/>
      <c r="B759" s="9"/>
      <c r="C759" s="9"/>
    </row>
    <row r="760" ht="15.75" customHeight="1" spans="1:3">
      <c r="A760" s="9"/>
      <c r="B760" s="9"/>
      <c r="C760" s="9"/>
    </row>
    <row r="761" ht="15.75" customHeight="1" spans="1:3">
      <c r="A761" s="9"/>
      <c r="B761" s="9"/>
      <c r="C761" s="9"/>
    </row>
    <row r="762" ht="15.75" customHeight="1" spans="1:3">
      <c r="A762" s="9"/>
      <c r="B762" s="9"/>
      <c r="C762" s="9"/>
    </row>
    <row r="763" ht="15.75" customHeight="1" spans="1:3">
      <c r="A763" s="9"/>
      <c r="B763" s="9"/>
      <c r="C763" s="9"/>
    </row>
    <row r="764" ht="15.75" customHeight="1" spans="1:3">
      <c r="A764" s="9"/>
      <c r="B764" s="9"/>
      <c r="C764" s="9"/>
    </row>
    <row r="765" ht="15.75" customHeight="1" spans="1:3">
      <c r="A765" s="9"/>
      <c r="B765" s="9"/>
      <c r="C765" s="9"/>
    </row>
    <row r="766" ht="15.75" customHeight="1" spans="1:3">
      <c r="A766" s="9"/>
      <c r="B766" s="9"/>
      <c r="C766" s="9"/>
    </row>
    <row r="767" ht="15.75" customHeight="1" spans="1:3">
      <c r="A767" s="9"/>
      <c r="B767" s="9"/>
      <c r="C767" s="9"/>
    </row>
    <row r="768" ht="15.75" customHeight="1" spans="1:3">
      <c r="A768" s="9"/>
      <c r="B768" s="9"/>
      <c r="C768" s="9"/>
    </row>
    <row r="769" ht="15.75" customHeight="1" spans="1:3">
      <c r="A769" s="9"/>
      <c r="B769" s="9"/>
      <c r="C769" s="9"/>
    </row>
    <row r="770" ht="15.75" customHeight="1" spans="1:3">
      <c r="A770" s="9"/>
      <c r="B770" s="9"/>
      <c r="C770" s="9"/>
    </row>
    <row r="771" ht="15.75" customHeight="1" spans="1:3">
      <c r="A771" s="9"/>
      <c r="B771" s="9"/>
      <c r="C771" s="9"/>
    </row>
    <row r="772" ht="15.75" customHeight="1" spans="1:3">
      <c r="A772" s="9"/>
      <c r="B772" s="9"/>
      <c r="C772" s="9"/>
    </row>
    <row r="773" ht="15.75" customHeight="1" spans="1:3">
      <c r="A773" s="9"/>
      <c r="B773" s="9"/>
      <c r="C773" s="9"/>
    </row>
    <row r="774" ht="15.75" customHeight="1" spans="1:3">
      <c r="A774" s="9"/>
      <c r="B774" s="9"/>
      <c r="C774" s="9"/>
    </row>
    <row r="775" ht="15.75" customHeight="1" spans="1:3">
      <c r="A775" s="9"/>
      <c r="B775" s="9"/>
      <c r="C775" s="9"/>
    </row>
    <row r="776" ht="15.75" customHeight="1" spans="1:3">
      <c r="A776" s="9"/>
      <c r="B776" s="9"/>
      <c r="C776" s="9"/>
    </row>
    <row r="777" ht="15.75" customHeight="1" spans="1:3">
      <c r="A777" s="9"/>
      <c r="B777" s="9"/>
      <c r="C777" s="9"/>
    </row>
    <row r="778" ht="15.75" customHeight="1" spans="1:3">
      <c r="A778" s="9"/>
      <c r="B778" s="9"/>
      <c r="C778" s="9"/>
    </row>
    <row r="779" ht="15.75" customHeight="1" spans="1:3">
      <c r="A779" s="9"/>
      <c r="B779" s="9"/>
      <c r="C779" s="9"/>
    </row>
    <row r="780" ht="15.75" customHeight="1" spans="1:3">
      <c r="A780" s="9"/>
      <c r="B780" s="9"/>
      <c r="C780" s="9"/>
    </row>
    <row r="781" ht="15.75" customHeight="1" spans="1:3">
      <c r="A781" s="9"/>
      <c r="B781" s="9"/>
      <c r="C781" s="9"/>
    </row>
    <row r="782" ht="15.75" customHeight="1" spans="1:3">
      <c r="A782" s="9"/>
      <c r="B782" s="9"/>
      <c r="C782" s="9"/>
    </row>
    <row r="783" ht="15.75" customHeight="1" spans="1:3">
      <c r="A783" s="9"/>
      <c r="B783" s="9"/>
      <c r="C783" s="9"/>
    </row>
    <row r="784" ht="15.75" customHeight="1" spans="1:3">
      <c r="A784" s="9"/>
      <c r="B784" s="9"/>
      <c r="C784" s="9"/>
    </row>
    <row r="785" ht="15.75" customHeight="1" spans="1:3">
      <c r="A785" s="9"/>
      <c r="B785" s="9"/>
      <c r="C785" s="9"/>
    </row>
    <row r="786" ht="15.75" customHeight="1" spans="1:3">
      <c r="A786" s="9"/>
      <c r="B786" s="9"/>
      <c r="C786" s="9"/>
    </row>
    <row r="787" ht="15.75" customHeight="1" spans="1:3">
      <c r="A787" s="9"/>
      <c r="B787" s="9"/>
      <c r="C787" s="9"/>
    </row>
    <row r="788" ht="15.75" customHeight="1" spans="1:3">
      <c r="A788" s="9"/>
      <c r="B788" s="9"/>
      <c r="C788" s="9"/>
    </row>
    <row r="789" ht="15.75" customHeight="1" spans="1:3">
      <c r="A789" s="9"/>
      <c r="B789" s="9"/>
      <c r="C789" s="9"/>
    </row>
    <row r="790" ht="15.75" customHeight="1" spans="1:3">
      <c r="A790" s="9"/>
      <c r="B790" s="9"/>
      <c r="C790" s="9"/>
    </row>
    <row r="791" ht="15.75" customHeight="1" spans="1:3">
      <c r="A791" s="9"/>
      <c r="B791" s="9"/>
      <c r="C791" s="9"/>
    </row>
    <row r="792" ht="15.75" customHeight="1" spans="1:3">
      <c r="A792" s="9"/>
      <c r="B792" s="9"/>
      <c r="C792" s="9"/>
    </row>
    <row r="793" ht="15.75" customHeight="1" spans="1:3">
      <c r="A793" s="9"/>
      <c r="B793" s="9"/>
      <c r="C793" s="9"/>
    </row>
    <row r="794" ht="15.75" customHeight="1" spans="1:3">
      <c r="A794" s="9"/>
      <c r="B794" s="9"/>
      <c r="C794" s="9"/>
    </row>
    <row r="795" ht="15.75" customHeight="1" spans="1:3">
      <c r="A795" s="9"/>
      <c r="B795" s="9"/>
      <c r="C795" s="9"/>
    </row>
    <row r="796" ht="15.75" customHeight="1" spans="1:3">
      <c r="A796" s="9"/>
      <c r="B796" s="9"/>
      <c r="C796" s="9"/>
    </row>
    <row r="797" ht="15.75" customHeight="1" spans="1:3">
      <c r="A797" s="9"/>
      <c r="B797" s="9"/>
      <c r="C797" s="9"/>
    </row>
    <row r="798" ht="15.75" customHeight="1" spans="1:3">
      <c r="A798" s="9"/>
      <c r="B798" s="9"/>
      <c r="C798" s="9"/>
    </row>
    <row r="799" ht="15.75" customHeight="1" spans="1:3">
      <c r="A799" s="9"/>
      <c r="B799" s="9"/>
      <c r="C799" s="9"/>
    </row>
    <row r="800" ht="15.75" customHeight="1" spans="1:3">
      <c r="A800" s="9"/>
      <c r="B800" s="9"/>
      <c r="C800" s="9"/>
    </row>
    <row r="801" ht="15.75" customHeight="1" spans="1:3">
      <c r="A801" s="9"/>
      <c r="B801" s="9"/>
      <c r="C801" s="9"/>
    </row>
    <row r="802" ht="15.75" customHeight="1" spans="1:3">
      <c r="A802" s="9"/>
      <c r="B802" s="9"/>
      <c r="C802" s="9"/>
    </row>
    <row r="803" ht="15.75" customHeight="1" spans="1:3">
      <c r="A803" s="9"/>
      <c r="B803" s="9"/>
      <c r="C803" s="9"/>
    </row>
    <row r="804" ht="15.75" customHeight="1" spans="1:3">
      <c r="A804" s="9"/>
      <c r="B804" s="9"/>
      <c r="C804" s="9"/>
    </row>
    <row r="805" ht="15.75" customHeight="1" spans="1:3">
      <c r="A805" s="9"/>
      <c r="B805" s="9"/>
      <c r="C805" s="9"/>
    </row>
    <row r="806" ht="15.75" customHeight="1" spans="1:3">
      <c r="A806" s="9"/>
      <c r="B806" s="9"/>
      <c r="C806" s="9"/>
    </row>
    <row r="807" ht="15.75" customHeight="1" spans="1:3">
      <c r="A807" s="9"/>
      <c r="B807" s="9"/>
      <c r="C807" s="9"/>
    </row>
    <row r="808" ht="15.75" customHeight="1" spans="1:3">
      <c r="A808" s="9"/>
      <c r="B808" s="9"/>
      <c r="C808" s="9"/>
    </row>
    <row r="809" ht="15.75" customHeight="1" spans="1:3">
      <c r="A809" s="9"/>
      <c r="B809" s="9"/>
      <c r="C809" s="9"/>
    </row>
    <row r="810" ht="15.75" customHeight="1" spans="1:3">
      <c r="A810" s="9"/>
      <c r="B810" s="9"/>
      <c r="C810" s="9"/>
    </row>
    <row r="811" ht="15.75" customHeight="1" spans="1:3">
      <c r="A811" s="9"/>
      <c r="B811" s="9"/>
      <c r="C811" s="9"/>
    </row>
    <row r="812" ht="15.75" customHeight="1" spans="1:3">
      <c r="A812" s="9"/>
      <c r="B812" s="9"/>
      <c r="C812" s="9"/>
    </row>
    <row r="813" ht="15.75" customHeight="1" spans="1:3">
      <c r="A813" s="9"/>
      <c r="B813" s="9"/>
      <c r="C813" s="9"/>
    </row>
    <row r="814" ht="15.75" customHeight="1" spans="1:3">
      <c r="A814" s="9"/>
      <c r="B814" s="9"/>
      <c r="C814" s="9"/>
    </row>
    <row r="815" ht="15.75" customHeight="1" spans="1:3">
      <c r="A815" s="9"/>
      <c r="B815" s="9"/>
      <c r="C815" s="9"/>
    </row>
    <row r="816" ht="15.75" customHeight="1" spans="1:3">
      <c r="A816" s="9"/>
      <c r="B816" s="9"/>
      <c r="C816" s="9"/>
    </row>
    <row r="817" ht="15.75" customHeight="1" spans="1:3">
      <c r="A817" s="9"/>
      <c r="B817" s="9"/>
      <c r="C817" s="9"/>
    </row>
    <row r="818" ht="15.75" customHeight="1" spans="1:3">
      <c r="A818" s="9"/>
      <c r="B818" s="9"/>
      <c r="C818" s="9"/>
    </row>
    <row r="819" ht="15.75" customHeight="1" spans="1:3">
      <c r="A819" s="9"/>
      <c r="B819" s="9"/>
      <c r="C819" s="9"/>
    </row>
    <row r="820" ht="15.75" customHeight="1" spans="1:3">
      <c r="A820" s="9"/>
      <c r="B820" s="9"/>
      <c r="C820" s="9"/>
    </row>
    <row r="821" ht="15.75" customHeight="1" spans="1:3">
      <c r="A821" s="9"/>
      <c r="B821" s="9"/>
      <c r="C821" s="9"/>
    </row>
    <row r="822" ht="15.75" customHeight="1" spans="1:3">
      <c r="A822" s="9"/>
      <c r="B822" s="9"/>
      <c r="C822" s="9"/>
    </row>
    <row r="823" ht="15.75" customHeight="1" spans="1:3">
      <c r="A823" s="9"/>
      <c r="B823" s="9"/>
      <c r="C823" s="9"/>
    </row>
    <row r="824" ht="15.75" customHeight="1" spans="1:3">
      <c r="A824" s="9"/>
      <c r="B824" s="9"/>
      <c r="C824" s="9"/>
    </row>
    <row r="825" ht="15.75" customHeight="1" spans="1:3">
      <c r="A825" s="9"/>
      <c r="B825" s="9"/>
      <c r="C825" s="9"/>
    </row>
    <row r="826" ht="15.75" customHeight="1" spans="1:3">
      <c r="A826" s="9"/>
      <c r="B826" s="9"/>
      <c r="C826" s="9"/>
    </row>
    <row r="827" ht="15.75" customHeight="1" spans="1:3">
      <c r="A827" s="9"/>
      <c r="B827" s="9"/>
      <c r="C827" s="9"/>
    </row>
    <row r="828" ht="15.75" customHeight="1" spans="1:3">
      <c r="A828" s="9"/>
      <c r="B828" s="9"/>
      <c r="C828" s="9"/>
    </row>
    <row r="829" ht="15.75" customHeight="1" spans="1:3">
      <c r="A829" s="9"/>
      <c r="B829" s="9"/>
      <c r="C829" s="9"/>
    </row>
    <row r="830" ht="15.75" customHeight="1" spans="1:3">
      <c r="A830" s="9"/>
      <c r="B830" s="9"/>
      <c r="C830" s="9"/>
    </row>
    <row r="831" ht="15.75" customHeight="1" spans="1:3">
      <c r="A831" s="9"/>
      <c r="B831" s="9"/>
      <c r="C831" s="9"/>
    </row>
    <row r="832" ht="15.75" customHeight="1" spans="1:3">
      <c r="A832" s="9"/>
      <c r="B832" s="9"/>
      <c r="C832" s="9"/>
    </row>
    <row r="833" ht="15.75" customHeight="1" spans="1:3">
      <c r="A833" s="9"/>
      <c r="B833" s="9"/>
      <c r="C833" s="9"/>
    </row>
    <row r="834" ht="15.75" customHeight="1" spans="1:3">
      <c r="A834" s="9"/>
      <c r="B834" s="9"/>
      <c r="C834" s="9"/>
    </row>
    <row r="835" ht="15.75" customHeight="1" spans="1:3">
      <c r="A835" s="9"/>
      <c r="B835" s="9"/>
      <c r="C835" s="9"/>
    </row>
    <row r="836" ht="15.75" customHeight="1" spans="1:3">
      <c r="A836" s="9"/>
      <c r="B836" s="9"/>
      <c r="C836" s="9"/>
    </row>
    <row r="837" ht="15.75" customHeight="1" spans="1:3">
      <c r="A837" s="9"/>
      <c r="B837" s="9"/>
      <c r="C837" s="9"/>
    </row>
    <row r="838" ht="15.75" customHeight="1" spans="1:3">
      <c r="A838" s="9"/>
      <c r="B838" s="9"/>
      <c r="C838" s="9"/>
    </row>
    <row r="839" ht="15.75" customHeight="1" spans="1:3">
      <c r="A839" s="9"/>
      <c r="B839" s="9"/>
      <c r="C839" s="9"/>
    </row>
    <row r="840" ht="15.75" customHeight="1" spans="1:3">
      <c r="A840" s="9"/>
      <c r="B840" s="9"/>
      <c r="C840" s="9"/>
    </row>
    <row r="841" ht="15.75" customHeight="1" spans="1:3">
      <c r="A841" s="9"/>
      <c r="B841" s="9"/>
      <c r="C841" s="9"/>
    </row>
    <row r="842" ht="15.75" customHeight="1" spans="1:3">
      <c r="A842" s="9"/>
      <c r="B842" s="9"/>
      <c r="C842" s="9"/>
    </row>
    <row r="843" ht="15.75" customHeight="1" spans="1:3">
      <c r="A843" s="9"/>
      <c r="B843" s="9"/>
      <c r="C843" s="9"/>
    </row>
    <row r="844" ht="15.75" customHeight="1" spans="1:3">
      <c r="A844" s="9"/>
      <c r="B844" s="9"/>
      <c r="C844" s="9"/>
    </row>
    <row r="845" ht="15.75" customHeight="1" spans="1:3">
      <c r="A845" s="9"/>
      <c r="B845" s="9"/>
      <c r="C845" s="9"/>
    </row>
    <row r="846" ht="15.75" customHeight="1" spans="1:3">
      <c r="A846" s="9"/>
      <c r="B846" s="9"/>
      <c r="C846" s="9"/>
    </row>
    <row r="847" ht="15.75" customHeight="1" spans="1:3">
      <c r="A847" s="9"/>
      <c r="B847" s="9"/>
      <c r="C847" s="9"/>
    </row>
    <row r="848" ht="15.75" customHeight="1" spans="1:3">
      <c r="A848" s="9"/>
      <c r="B848" s="9"/>
      <c r="C848" s="9"/>
    </row>
    <row r="849" ht="15.75" customHeight="1" spans="1:3">
      <c r="A849" s="9"/>
      <c r="B849" s="9"/>
      <c r="C849" s="9"/>
    </row>
    <row r="850" ht="15.75" customHeight="1" spans="1:3">
      <c r="A850" s="9"/>
      <c r="B850" s="9"/>
      <c r="C850" s="9"/>
    </row>
    <row r="851" ht="15.75" customHeight="1" spans="1:3">
      <c r="A851" s="9"/>
      <c r="B851" s="9"/>
      <c r="C851" s="9"/>
    </row>
    <row r="852" ht="15.75" customHeight="1" spans="1:3">
      <c r="A852" s="9"/>
      <c r="B852" s="9"/>
      <c r="C852" s="9"/>
    </row>
    <row r="853" ht="15.75" customHeight="1" spans="1:3">
      <c r="A853" s="9"/>
      <c r="B853" s="9"/>
      <c r="C853" s="9"/>
    </row>
    <row r="854" ht="15.75" customHeight="1" spans="1:3">
      <c r="A854" s="9"/>
      <c r="B854" s="9"/>
      <c r="C854" s="9"/>
    </row>
    <row r="855" ht="15.75" customHeight="1" spans="1:3">
      <c r="A855" s="9"/>
      <c r="B855" s="9"/>
      <c r="C855" s="9"/>
    </row>
    <row r="856" ht="15.75" customHeight="1" spans="1:3">
      <c r="A856" s="9"/>
      <c r="B856" s="9"/>
      <c r="C856" s="9"/>
    </row>
    <row r="857" ht="15.75" customHeight="1" spans="1:3">
      <c r="A857" s="9"/>
      <c r="B857" s="9"/>
      <c r="C857" s="9"/>
    </row>
    <row r="858" ht="15.75" customHeight="1" spans="1:3">
      <c r="A858" s="9"/>
      <c r="B858" s="9"/>
      <c r="C858" s="9"/>
    </row>
    <row r="859" ht="15.75" customHeight="1" spans="1:3">
      <c r="A859" s="9"/>
      <c r="B859" s="9"/>
      <c r="C859" s="9"/>
    </row>
    <row r="860" ht="15.75" customHeight="1" spans="1:3">
      <c r="A860" s="9"/>
      <c r="B860" s="9"/>
      <c r="C860" s="9"/>
    </row>
    <row r="861" ht="15.75" customHeight="1" spans="1:3">
      <c r="A861" s="9"/>
      <c r="B861" s="9"/>
      <c r="C861" s="9"/>
    </row>
    <row r="862" ht="15.75" customHeight="1" spans="1:3">
      <c r="A862" s="9"/>
      <c r="B862" s="9"/>
      <c r="C862" s="9"/>
    </row>
    <row r="863" ht="15.75" customHeight="1" spans="1:3">
      <c r="A863" s="9"/>
      <c r="B863" s="9"/>
      <c r="C863" s="9"/>
    </row>
    <row r="864" ht="15.75" customHeight="1" spans="1:3">
      <c r="A864" s="9"/>
      <c r="B864" s="9"/>
      <c r="C864" s="9"/>
    </row>
    <row r="865" ht="15.75" customHeight="1" spans="1:3">
      <c r="A865" s="9"/>
      <c r="B865" s="9"/>
      <c r="C865" s="9"/>
    </row>
    <row r="866" ht="15.75" customHeight="1" spans="1:3">
      <c r="A866" s="9"/>
      <c r="B866" s="9"/>
      <c r="C866" s="9"/>
    </row>
    <row r="867" ht="15.75" customHeight="1" spans="1:3">
      <c r="A867" s="9"/>
      <c r="B867" s="9"/>
      <c r="C867" s="9"/>
    </row>
    <row r="868" ht="15.75" customHeight="1" spans="1:3">
      <c r="A868" s="9"/>
      <c r="B868" s="9"/>
      <c r="C868" s="9"/>
    </row>
    <row r="869" ht="15.75" customHeight="1" spans="1:3">
      <c r="A869" s="9"/>
      <c r="B869" s="9"/>
      <c r="C869" s="9"/>
    </row>
    <row r="870" ht="15.75" customHeight="1" spans="1:3">
      <c r="A870" s="9"/>
      <c r="B870" s="9"/>
      <c r="C870" s="9"/>
    </row>
    <row r="871" ht="15.75" customHeight="1" spans="1:3">
      <c r="A871" s="9"/>
      <c r="B871" s="9"/>
      <c r="C871" s="9"/>
    </row>
    <row r="872" ht="15.75" customHeight="1" spans="1:3">
      <c r="A872" s="9"/>
      <c r="B872" s="9"/>
      <c r="C872" s="9"/>
    </row>
    <row r="873" ht="15.75" customHeight="1" spans="1:3">
      <c r="A873" s="9"/>
      <c r="B873" s="9"/>
      <c r="C873" s="9"/>
    </row>
    <row r="874" ht="15.75" customHeight="1" spans="1:3">
      <c r="A874" s="9"/>
      <c r="B874" s="9"/>
      <c r="C874" s="9"/>
    </row>
    <row r="875" ht="15.75" customHeight="1" spans="1:3">
      <c r="A875" s="9"/>
      <c r="B875" s="9"/>
      <c r="C875" s="9"/>
    </row>
    <row r="876" ht="15.75" customHeight="1" spans="1:3">
      <c r="A876" s="9"/>
      <c r="B876" s="9"/>
      <c r="C876" s="9"/>
    </row>
    <row r="877" ht="15.75" customHeight="1" spans="1:3">
      <c r="A877" s="9"/>
      <c r="B877" s="9"/>
      <c r="C877" s="9"/>
    </row>
    <row r="878" ht="15.75" customHeight="1" spans="1:3">
      <c r="A878" s="9"/>
      <c r="B878" s="9"/>
      <c r="C878" s="9"/>
    </row>
    <row r="879" ht="15.75" customHeight="1" spans="1:3">
      <c r="A879" s="9"/>
      <c r="B879" s="9"/>
      <c r="C879" s="9"/>
    </row>
    <row r="880" ht="15.75" customHeight="1" spans="1:3">
      <c r="A880" s="9"/>
      <c r="B880" s="9"/>
      <c r="C880" s="9"/>
    </row>
    <row r="881" ht="15.75" customHeight="1" spans="1:3">
      <c r="A881" s="9"/>
      <c r="B881" s="9"/>
      <c r="C881" s="9"/>
    </row>
    <row r="882" ht="15.75" customHeight="1" spans="1:3">
      <c r="A882" s="9"/>
      <c r="B882" s="9"/>
      <c r="C882" s="9"/>
    </row>
    <row r="883" ht="15.75" customHeight="1" spans="1:3">
      <c r="A883" s="9"/>
      <c r="B883" s="9"/>
      <c r="C883" s="9"/>
    </row>
    <row r="884" ht="15.75" customHeight="1" spans="1:3">
      <c r="A884" s="9"/>
      <c r="B884" s="9"/>
      <c r="C884" s="9"/>
    </row>
    <row r="885" ht="15.75" customHeight="1" spans="1:3">
      <c r="A885" s="9"/>
      <c r="B885" s="9"/>
      <c r="C885" s="9"/>
    </row>
    <row r="886" ht="15.75" customHeight="1" spans="1:3">
      <c r="A886" s="9"/>
      <c r="B886" s="9"/>
      <c r="C886" s="9"/>
    </row>
    <row r="887" ht="15.75" customHeight="1" spans="1:3">
      <c r="A887" s="9"/>
      <c r="B887" s="9"/>
      <c r="C887" s="9"/>
    </row>
    <row r="888" ht="15.75" customHeight="1" spans="1:3">
      <c r="A888" s="9"/>
      <c r="B888" s="9"/>
      <c r="C888" s="9"/>
    </row>
    <row r="889" ht="15.75" customHeight="1" spans="1:3">
      <c r="A889" s="9"/>
      <c r="B889" s="9"/>
      <c r="C889" s="9"/>
    </row>
    <row r="890" ht="15.75" customHeight="1" spans="1:3">
      <c r="A890" s="9"/>
      <c r="B890" s="9"/>
      <c r="C890" s="9"/>
    </row>
    <row r="891" ht="15.75" customHeight="1" spans="1:3">
      <c r="A891" s="9"/>
      <c r="B891" s="9"/>
      <c r="C891" s="9"/>
    </row>
    <row r="892" ht="15.75" customHeight="1" spans="1:3">
      <c r="A892" s="9"/>
      <c r="B892" s="9"/>
      <c r="C892" s="9"/>
    </row>
    <row r="893" ht="15.75" customHeight="1" spans="1:3">
      <c r="A893" s="9"/>
      <c r="B893" s="9"/>
      <c r="C893" s="9"/>
    </row>
    <row r="894" ht="15.75" customHeight="1" spans="1:3">
      <c r="A894" s="9"/>
      <c r="B894" s="9"/>
      <c r="C894" s="9"/>
    </row>
    <row r="895" ht="15.75" customHeight="1" spans="1:3">
      <c r="A895" s="9"/>
      <c r="B895" s="9"/>
      <c r="C895" s="9"/>
    </row>
    <row r="896" ht="15.75" customHeight="1" spans="1:3">
      <c r="A896" s="9"/>
      <c r="B896" s="9"/>
      <c r="C896" s="9"/>
    </row>
    <row r="897" ht="15.75" customHeight="1" spans="1:3">
      <c r="A897" s="9"/>
      <c r="B897" s="9"/>
      <c r="C897" s="9"/>
    </row>
    <row r="898" ht="15.75" customHeight="1" spans="1:3">
      <c r="A898" s="9"/>
      <c r="B898" s="9"/>
      <c r="C898" s="9"/>
    </row>
    <row r="899" ht="15.75" customHeight="1" spans="1:3">
      <c r="A899" s="9"/>
      <c r="B899" s="9"/>
      <c r="C899" s="9"/>
    </row>
    <row r="900" ht="15.75" customHeight="1" spans="1:3">
      <c r="A900" s="9"/>
      <c r="B900" s="9"/>
      <c r="C900" s="9"/>
    </row>
    <row r="901" ht="15.75" customHeight="1" spans="1:3">
      <c r="A901" s="9"/>
      <c r="B901" s="9"/>
      <c r="C901" s="9"/>
    </row>
    <row r="902" ht="15.75" customHeight="1" spans="1:3">
      <c r="A902" s="9"/>
      <c r="B902" s="9"/>
      <c r="C902" s="9"/>
    </row>
    <row r="903" ht="15.75" customHeight="1" spans="1:3">
      <c r="A903" s="9"/>
      <c r="B903" s="9"/>
      <c r="C903" s="9"/>
    </row>
    <row r="904" ht="15.75" customHeight="1" spans="1:3">
      <c r="A904" s="9"/>
      <c r="B904" s="9"/>
      <c r="C904" s="9"/>
    </row>
    <row r="905" ht="15.75" customHeight="1" spans="1:3">
      <c r="A905" s="9"/>
      <c r="B905" s="9"/>
      <c r="C905" s="9"/>
    </row>
    <row r="906" ht="15.75" customHeight="1" spans="1:3">
      <c r="A906" s="9"/>
      <c r="B906" s="9"/>
      <c r="C906" s="9"/>
    </row>
    <row r="907" ht="15.75" customHeight="1" spans="1:3">
      <c r="A907" s="9"/>
      <c r="B907" s="9"/>
      <c r="C907" s="9"/>
    </row>
    <row r="908" ht="15.75" customHeight="1" spans="1:3">
      <c r="A908" s="9"/>
      <c r="B908" s="9"/>
      <c r="C908" s="9"/>
    </row>
    <row r="909" ht="15.75" customHeight="1" spans="1:3">
      <c r="A909" s="9"/>
      <c r="B909" s="9"/>
      <c r="C909" s="9"/>
    </row>
    <row r="910" ht="15.75" customHeight="1" spans="1:3">
      <c r="A910" s="9"/>
      <c r="B910" s="9"/>
      <c r="C910" s="9"/>
    </row>
    <row r="911" ht="15.75" customHeight="1" spans="1:3">
      <c r="A911" s="9"/>
      <c r="B911" s="9"/>
      <c r="C911" s="9"/>
    </row>
    <row r="912" ht="15.75" customHeight="1" spans="1:3">
      <c r="A912" s="9"/>
      <c r="B912" s="9"/>
      <c r="C912" s="9"/>
    </row>
    <row r="913" ht="15.75" customHeight="1" spans="1:3">
      <c r="A913" s="9"/>
      <c r="B913" s="9"/>
      <c r="C913" s="9"/>
    </row>
    <row r="914" ht="15.75" customHeight="1" spans="1:3">
      <c r="A914" s="9"/>
      <c r="B914" s="9"/>
      <c r="C914" s="9"/>
    </row>
    <row r="915" ht="15.75" customHeight="1" spans="1:3">
      <c r="A915" s="9"/>
      <c r="B915" s="9"/>
      <c r="C915" s="9"/>
    </row>
    <row r="916" ht="15.75" customHeight="1" spans="1:3">
      <c r="A916" s="9"/>
      <c r="B916" s="9"/>
      <c r="C916" s="9"/>
    </row>
    <row r="917" ht="15.75" customHeight="1" spans="1:3">
      <c r="A917" s="9"/>
      <c r="B917" s="9"/>
      <c r="C917" s="9"/>
    </row>
    <row r="918" ht="15.75" customHeight="1" spans="1:3">
      <c r="A918" s="9"/>
      <c r="B918" s="9"/>
      <c r="C918" s="9"/>
    </row>
    <row r="919" ht="15.75" customHeight="1" spans="1:3">
      <c r="A919" s="9"/>
      <c r="B919" s="9"/>
      <c r="C919" s="9"/>
    </row>
    <row r="920" ht="15.75" customHeight="1" spans="1:3">
      <c r="A920" s="9"/>
      <c r="B920" s="9"/>
      <c r="C920" s="9"/>
    </row>
    <row r="921" ht="15.75" customHeight="1" spans="1:3">
      <c r="A921" s="9"/>
      <c r="B921" s="9"/>
      <c r="C921" s="9"/>
    </row>
    <row r="922" ht="15.75" customHeight="1" spans="1:3">
      <c r="A922" s="9"/>
      <c r="B922" s="9"/>
      <c r="C922" s="9"/>
    </row>
    <row r="923" ht="15.75" customHeight="1" spans="1:3">
      <c r="A923" s="9"/>
      <c r="B923" s="9"/>
      <c r="C923" s="9"/>
    </row>
    <row r="924" ht="15.75" customHeight="1" spans="1:3">
      <c r="A924" s="9"/>
      <c r="B924" s="9"/>
      <c r="C924" s="9"/>
    </row>
    <row r="925" ht="15.75" customHeight="1" spans="1:3">
      <c r="A925" s="9"/>
      <c r="B925" s="9"/>
      <c r="C925" s="9"/>
    </row>
    <row r="926" ht="15.75" customHeight="1" spans="1:3">
      <c r="A926" s="9"/>
      <c r="B926" s="9"/>
      <c r="C926" s="9"/>
    </row>
    <row r="927" ht="15.75" customHeight="1" spans="1:3">
      <c r="A927" s="9"/>
      <c r="B927" s="9"/>
      <c r="C927" s="9"/>
    </row>
    <row r="928" ht="15.75" customHeight="1" spans="1:3">
      <c r="A928" s="9"/>
      <c r="B928" s="9"/>
      <c r="C928" s="9"/>
    </row>
    <row r="929" ht="15.75" customHeight="1" spans="1:3">
      <c r="A929" s="9"/>
      <c r="B929" s="9"/>
      <c r="C929" s="9"/>
    </row>
    <row r="930" ht="15.75" customHeight="1" spans="1:3">
      <c r="A930" s="9"/>
      <c r="B930" s="9"/>
      <c r="C930" s="9"/>
    </row>
    <row r="931" ht="15.75" customHeight="1" spans="1:3">
      <c r="A931" s="9"/>
      <c r="B931" s="9"/>
      <c r="C931" s="9"/>
    </row>
    <row r="932" ht="15.75" customHeight="1" spans="1:3">
      <c r="A932" s="9"/>
      <c r="B932" s="9"/>
      <c r="C932" s="9"/>
    </row>
    <row r="933" ht="15.75" customHeight="1" spans="1:3">
      <c r="A933" s="9"/>
      <c r="B933" s="9"/>
      <c r="C933" s="9"/>
    </row>
    <row r="934" ht="15.75" customHeight="1" spans="1:3">
      <c r="A934" s="9"/>
      <c r="B934" s="9"/>
      <c r="C934" s="9"/>
    </row>
    <row r="935" ht="15.75" customHeight="1" spans="1:3">
      <c r="A935" s="9"/>
      <c r="B935" s="9"/>
      <c r="C935" s="9"/>
    </row>
    <row r="936" ht="15.75" customHeight="1" spans="1:3">
      <c r="A936" s="9"/>
      <c r="B936" s="9"/>
      <c r="C936" s="9"/>
    </row>
    <row r="937" ht="15.75" customHeight="1" spans="1:3">
      <c r="A937" s="9"/>
      <c r="B937" s="9"/>
      <c r="C937" s="9"/>
    </row>
    <row r="938" ht="15.75" customHeight="1" spans="1:3">
      <c r="A938" s="9"/>
      <c r="B938" s="9"/>
      <c r="C938" s="9"/>
    </row>
    <row r="939" ht="15.75" customHeight="1" spans="1:3">
      <c r="A939" s="9"/>
      <c r="B939" s="9"/>
      <c r="C939" s="9"/>
    </row>
    <row r="940" ht="15.75" customHeight="1" spans="1:3">
      <c r="A940" s="9"/>
      <c r="B940" s="9"/>
      <c r="C940" s="9"/>
    </row>
    <row r="941" ht="15.75" customHeight="1" spans="1:3">
      <c r="A941" s="9"/>
      <c r="B941" s="9"/>
      <c r="C941" s="9"/>
    </row>
    <row r="942" ht="15.75" customHeight="1" spans="1:3">
      <c r="A942" s="9"/>
      <c r="B942" s="9"/>
      <c r="C942" s="9"/>
    </row>
    <row r="943" ht="15.75" customHeight="1" spans="1:3">
      <c r="A943" s="9"/>
      <c r="B943" s="9"/>
      <c r="C943" s="9"/>
    </row>
    <row r="944" ht="15.75" customHeight="1" spans="1:3">
      <c r="A944" s="9"/>
      <c r="B944" s="9"/>
      <c r="C944" s="9"/>
    </row>
    <row r="945" ht="15.75" customHeight="1" spans="1:3">
      <c r="A945" s="9"/>
      <c r="B945" s="9"/>
      <c r="C945" s="9"/>
    </row>
    <row r="946" ht="15.75" customHeight="1" spans="1:3">
      <c r="A946" s="9"/>
      <c r="B946" s="9"/>
      <c r="C946" s="9"/>
    </row>
    <row r="947" ht="15.75" customHeight="1" spans="1:3">
      <c r="A947" s="9"/>
      <c r="B947" s="9"/>
      <c r="C947" s="9"/>
    </row>
    <row r="948" ht="15.75" customHeight="1" spans="1:3">
      <c r="A948" s="9"/>
      <c r="B948" s="9"/>
      <c r="C948" s="9"/>
    </row>
    <row r="949" ht="15.75" customHeight="1" spans="1:3">
      <c r="A949" s="9"/>
      <c r="B949" s="9"/>
      <c r="C949" s="9"/>
    </row>
    <row r="950" ht="15.75" customHeight="1" spans="1:3">
      <c r="A950" s="9"/>
      <c r="B950" s="9"/>
      <c r="C950" s="9"/>
    </row>
    <row r="951" ht="15.75" customHeight="1" spans="1:3">
      <c r="A951" s="9"/>
      <c r="B951" s="9"/>
      <c r="C951" s="9"/>
    </row>
    <row r="952" ht="15.75" customHeight="1" spans="1:3">
      <c r="A952" s="9"/>
      <c r="B952" s="9"/>
      <c r="C952" s="9"/>
    </row>
    <row r="953" ht="15.75" customHeight="1" spans="1:3">
      <c r="A953" s="9"/>
      <c r="B953" s="9"/>
      <c r="C953" s="9"/>
    </row>
    <row r="954" ht="15.75" customHeight="1" spans="1:3">
      <c r="A954" s="9"/>
      <c r="B954" s="9"/>
      <c r="C954" s="9"/>
    </row>
    <row r="955" ht="15.75" customHeight="1" spans="1:3">
      <c r="A955" s="9"/>
      <c r="B955" s="9"/>
      <c r="C955" s="9"/>
    </row>
    <row r="956" ht="15.75" customHeight="1" spans="1:3">
      <c r="A956" s="9"/>
      <c r="B956" s="9"/>
      <c r="C956" s="9"/>
    </row>
    <row r="957" ht="15.75" customHeight="1" spans="1:3">
      <c r="A957" s="9"/>
      <c r="B957" s="9"/>
      <c r="C957" s="9"/>
    </row>
    <row r="958" ht="15.75" customHeight="1" spans="1:3">
      <c r="A958" s="9"/>
      <c r="B958" s="9"/>
      <c r="C958" s="9"/>
    </row>
    <row r="959" ht="15.75" customHeight="1" spans="1:3">
      <c r="A959" s="9"/>
      <c r="B959" s="9"/>
      <c r="C959" s="9"/>
    </row>
    <row r="960" ht="15.75" customHeight="1" spans="1:3">
      <c r="A960" s="9"/>
      <c r="B960" s="9"/>
      <c r="C960" s="9"/>
    </row>
    <row r="961" ht="15.75" customHeight="1" spans="1:3">
      <c r="A961" s="9"/>
      <c r="B961" s="9"/>
      <c r="C961" s="9"/>
    </row>
    <row r="962" ht="15.75" customHeight="1" spans="1:3">
      <c r="A962" s="9"/>
      <c r="B962" s="9"/>
      <c r="C962" s="9"/>
    </row>
    <row r="963" ht="15.75" customHeight="1" spans="1:3">
      <c r="A963" s="9"/>
      <c r="B963" s="9"/>
      <c r="C963" s="9"/>
    </row>
    <row r="964" ht="15.75" customHeight="1" spans="1:3">
      <c r="A964" s="9"/>
      <c r="B964" s="9"/>
      <c r="C964" s="9"/>
    </row>
    <row r="965" ht="15.75" customHeight="1" spans="1:3">
      <c r="A965" s="9"/>
      <c r="B965" s="9"/>
      <c r="C965" s="9"/>
    </row>
    <row r="966" ht="15.75" customHeight="1" spans="1:3">
      <c r="A966" s="9"/>
      <c r="B966" s="9"/>
      <c r="C966" s="9"/>
    </row>
    <row r="967" ht="15.75" customHeight="1" spans="1:3">
      <c r="A967" s="9"/>
      <c r="B967" s="9"/>
      <c r="C967" s="9"/>
    </row>
    <row r="968" ht="15.75" customHeight="1" spans="1:3">
      <c r="A968" s="9"/>
      <c r="B968" s="9"/>
      <c r="C968" s="9"/>
    </row>
    <row r="969" ht="15.75" customHeight="1" spans="1:3">
      <c r="A969" s="9"/>
      <c r="B969" s="9"/>
      <c r="C969" s="9"/>
    </row>
    <row r="970" ht="15.75" customHeight="1" spans="1:3">
      <c r="A970" s="9"/>
      <c r="B970" s="9"/>
      <c r="C970" s="9"/>
    </row>
    <row r="971" ht="15.75" customHeight="1" spans="1:3">
      <c r="A971" s="9"/>
      <c r="B971" s="9"/>
      <c r="C971" s="9"/>
    </row>
    <row r="972" ht="15.75" customHeight="1" spans="1:3">
      <c r="A972" s="9"/>
      <c r="B972" s="9"/>
      <c r="C972" s="9"/>
    </row>
    <row r="973" ht="15.75" customHeight="1" spans="1:3">
      <c r="A973" s="9"/>
      <c r="B973" s="9"/>
      <c r="C973" s="9"/>
    </row>
    <row r="974" ht="15.75" customHeight="1" spans="1:3">
      <c r="A974" s="9"/>
      <c r="B974" s="9"/>
      <c r="C974" s="9"/>
    </row>
    <row r="975" ht="15.75" customHeight="1" spans="1:3">
      <c r="A975" s="9"/>
      <c r="B975" s="9"/>
      <c r="C975" s="9"/>
    </row>
    <row r="976" ht="15.75" customHeight="1" spans="1:3">
      <c r="A976" s="9"/>
      <c r="B976" s="9"/>
      <c r="C976" s="9"/>
    </row>
    <row r="977" ht="15.75" customHeight="1" spans="1:3">
      <c r="A977" s="9"/>
      <c r="B977" s="9"/>
      <c r="C977" s="9"/>
    </row>
    <row r="978" ht="15.75" customHeight="1" spans="1:3">
      <c r="A978" s="9"/>
      <c r="B978" s="9"/>
      <c r="C978" s="9"/>
    </row>
    <row r="979" ht="15.75" customHeight="1" spans="1:3">
      <c r="A979" s="9"/>
      <c r="B979" s="9"/>
      <c r="C979" s="9"/>
    </row>
    <row r="980" ht="15.75" customHeight="1" spans="1:3">
      <c r="A980" s="9"/>
      <c r="B980" s="9"/>
      <c r="C980" s="9"/>
    </row>
    <row r="981" ht="15.75" customHeight="1" spans="1:3">
      <c r="A981" s="9"/>
      <c r="B981" s="9"/>
      <c r="C981" s="9"/>
    </row>
    <row r="982" ht="15.75" customHeight="1" spans="1:3">
      <c r="A982" s="9"/>
      <c r="B982" s="9"/>
      <c r="C982" s="9"/>
    </row>
    <row r="983" ht="15.75" customHeight="1" spans="1:3">
      <c r="A983" s="9"/>
      <c r="B983" s="9"/>
      <c r="C983" s="9"/>
    </row>
    <row r="984" ht="15.75" customHeight="1" spans="1:3">
      <c r="A984" s="9"/>
      <c r="B984" s="9"/>
      <c r="C984" s="9"/>
    </row>
    <row r="985" ht="15.75" customHeight="1" spans="1:3">
      <c r="A985" s="9"/>
      <c r="B985" s="9"/>
      <c r="C985" s="9"/>
    </row>
    <row r="986" ht="15.75" customHeight="1" spans="1:3">
      <c r="A986" s="9"/>
      <c r="B986" s="9"/>
      <c r="C986" s="9"/>
    </row>
    <row r="987" ht="15.75" customHeight="1" spans="1:3">
      <c r="A987" s="9"/>
      <c r="B987" s="9"/>
      <c r="C987" s="9"/>
    </row>
    <row r="988" ht="15.75" customHeight="1" spans="1:3">
      <c r="A988" s="9"/>
      <c r="B988" s="9"/>
      <c r="C988" s="9"/>
    </row>
    <row r="989" ht="15.75" customHeight="1" spans="1:3">
      <c r="A989" s="9"/>
      <c r="B989" s="9"/>
      <c r="C989" s="9"/>
    </row>
    <row r="990" ht="15.75" customHeight="1" spans="1:3">
      <c r="A990" s="9"/>
      <c r="B990" s="9"/>
      <c r="C990" s="9"/>
    </row>
    <row r="991" ht="15.75" customHeight="1" spans="1:3">
      <c r="A991" s="9"/>
      <c r="B991" s="9"/>
      <c r="C991" s="9"/>
    </row>
    <row r="992" ht="15.75" customHeight="1" spans="1:3">
      <c r="A992" s="9"/>
      <c r="B992" s="9"/>
      <c r="C992" s="9"/>
    </row>
    <row r="993" ht="15.75" customHeight="1" spans="1:3">
      <c r="A993" s="9"/>
      <c r="B993" s="9"/>
      <c r="C993" s="9"/>
    </row>
    <row r="994" ht="15.75" customHeight="1" spans="1:3">
      <c r="A994" s="9"/>
      <c r="B994" s="9"/>
      <c r="C994" s="9"/>
    </row>
    <row r="995" ht="15.75" customHeight="1" spans="1:3">
      <c r="A995" s="9"/>
      <c r="B995" s="9"/>
      <c r="C995" s="9"/>
    </row>
    <row r="996" ht="15.75" customHeight="1" spans="1:3">
      <c r="A996" s="9"/>
      <c r="B996" s="9"/>
      <c r="C996" s="9"/>
    </row>
    <row r="997" ht="15.75" customHeight="1" spans="1:3">
      <c r="A997" s="9"/>
      <c r="B997" s="9"/>
      <c r="C997" s="9"/>
    </row>
    <row r="998" ht="15.75" customHeight="1" spans="1:3">
      <c r="A998" s="9"/>
      <c r="B998" s="9"/>
      <c r="C998" s="9"/>
    </row>
    <row r="999" ht="15.75" customHeight="1" spans="1:3">
      <c r="A999" s="9"/>
      <c r="B999" s="9"/>
      <c r="C999" s="9"/>
    </row>
    <row r="1000" ht="15.75" customHeight="1" spans="1:3">
      <c r="A1000" s="9"/>
      <c r="B1000" s="9"/>
      <c r="C1000" s="9"/>
    </row>
  </sheetData>
  <pageMargins left="0.75" right="0.75" top="1" bottom="1" header="0" footer="0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96875" defaultRowHeight="15" customHeight="1"/>
  <cols>
    <col min="1" max="1" width="12" customWidth="1"/>
    <col min="2" max="2" width="13" customWidth="1"/>
    <col min="3" max="3" width="24" customWidth="1"/>
    <col min="4" max="5" width="10" customWidth="1"/>
    <col min="6" max="6" width="22" customWidth="1"/>
    <col min="7" max="7" width="15" customWidth="1"/>
    <col min="8" max="10" width="11" customWidth="1"/>
    <col min="11" max="26" width="8.7109375" customWidth="1"/>
  </cols>
  <sheetData>
    <row r="1" customHeight="1" spans="1:10">
      <c r="A1" s="1" t="s">
        <v>225</v>
      </c>
      <c r="B1" s="1" t="s">
        <v>208</v>
      </c>
      <c r="C1" s="1" t="s">
        <v>226</v>
      </c>
      <c r="D1" s="1" t="s">
        <v>227</v>
      </c>
      <c r="E1" s="1" t="s">
        <v>228</v>
      </c>
      <c r="F1" s="1" t="s">
        <v>209</v>
      </c>
      <c r="G1" s="1" t="s">
        <v>210</v>
      </c>
      <c r="H1" s="1" t="s">
        <v>229</v>
      </c>
      <c r="I1" s="1" t="s">
        <v>230</v>
      </c>
      <c r="J1" s="1" t="s">
        <v>231</v>
      </c>
    </row>
    <row r="2" customHeight="1" spans="1:10">
      <c r="A2" s="2">
        <v>46027</v>
      </c>
      <c r="B2" s="3">
        <v>1000</v>
      </c>
      <c r="C2" s="3" t="s">
        <v>232</v>
      </c>
      <c r="D2" s="4">
        <v>5000</v>
      </c>
      <c r="E2" s="4"/>
      <c r="F2" s="11" t="str">
        <f t="array" ref="F2">IF($B2="","",IFERROR(INDEX(Accounts!$B$2:$B$100,MATCH($B2,Accounts!$A$2:$A$100,0)),""))</f>
        <v>Cash</v>
      </c>
      <c r="G2" s="11" t="str">
        <f t="array" ref="G2">IF($B2="","",IFERROR(INDEX(Accounts!$C$2:$C$100,MATCH($B2,Accounts!$A$2:$A$100,0)),""))</f>
        <v>Balance Sheet</v>
      </c>
      <c r="H2" s="11" t="str">
        <f t="shared" ref="H2:H500" si="0">IF($B2="","",IF(G2="","UNMAPPED","OK"))</f>
        <v>OK</v>
      </c>
      <c r="I2" s="13">
        <f t="shared" ref="I2:I500" si="1">IF(A2="","",DATE(YEAR(A2),MONTH(A2),1))</f>
        <v>46023</v>
      </c>
      <c r="J2" s="14">
        <f t="shared" ref="J2:J500" si="2">IF(B2="","",IF(G2="Revenue",N(E2)-N(D2),IF(OR(G2="COGS",G2="Opex"),N(D2)-N(E2),0)))</f>
        <v>0</v>
      </c>
    </row>
    <row r="3" customHeight="1" spans="1:10">
      <c r="A3" s="2">
        <v>46027</v>
      </c>
      <c r="B3" s="3">
        <v>4000</v>
      </c>
      <c r="C3" s="3" t="s">
        <v>232</v>
      </c>
      <c r="D3" s="4"/>
      <c r="E3" s="4">
        <v>5000</v>
      </c>
      <c r="F3" s="11" t="str">
        <f t="array" ref="F3">IF($B3="","",IFERROR(INDEX(Accounts!$B$2:$B$100,MATCH($B3,Accounts!$A$2:$A$100,0)),""))</f>
        <v>Product Sales</v>
      </c>
      <c r="G3" s="11" t="str">
        <f t="array" ref="G3">IF($B3="","",IFERROR(INDEX(Accounts!$C$2:$C$100,MATCH($B3,Accounts!$A$2:$A$100,0)),""))</f>
        <v>Revenue</v>
      </c>
      <c r="H3" s="11" t="str">
        <f t="shared" si="0"/>
        <v>OK</v>
      </c>
      <c r="I3" s="13">
        <f t="shared" si="1"/>
        <v>46023</v>
      </c>
      <c r="J3" s="14">
        <f t="shared" si="2"/>
        <v>5000</v>
      </c>
    </row>
    <row r="4" customHeight="1" spans="1:10">
      <c r="A4" s="2">
        <v>46032</v>
      </c>
      <c r="B4" s="3">
        <v>1000</v>
      </c>
      <c r="C4" s="3" t="s">
        <v>233</v>
      </c>
      <c r="D4" s="4">
        <v>2000</v>
      </c>
      <c r="E4" s="4"/>
      <c r="F4" s="11" t="str">
        <f t="array" ref="F4">IF($B4="","",IFERROR(INDEX(Accounts!$B$2:$B$100,MATCH($B4,Accounts!$A$2:$A$100,0)),""))</f>
        <v>Cash</v>
      </c>
      <c r="G4" s="11" t="str">
        <f t="array" ref="G4">IF($B4="","",IFERROR(INDEX(Accounts!$C$2:$C$100,MATCH($B4,Accounts!$A$2:$A$100,0)),""))</f>
        <v>Balance Sheet</v>
      </c>
      <c r="H4" s="11" t="str">
        <f t="shared" si="0"/>
        <v>OK</v>
      </c>
      <c r="I4" s="13">
        <f t="shared" si="1"/>
        <v>46023</v>
      </c>
      <c r="J4" s="14">
        <f t="shared" si="2"/>
        <v>0</v>
      </c>
    </row>
    <row r="5" customHeight="1" spans="1:10">
      <c r="A5" s="2">
        <v>46032</v>
      </c>
      <c r="B5" s="3">
        <v>4100</v>
      </c>
      <c r="C5" s="3" t="s">
        <v>233</v>
      </c>
      <c r="D5" s="4"/>
      <c r="E5" s="4">
        <v>2000</v>
      </c>
      <c r="F5" s="11" t="str">
        <f t="array" ref="F5">IF($B5="","",IFERROR(INDEX(Accounts!$B$2:$B$100,MATCH($B5,Accounts!$A$2:$A$100,0)),""))</f>
        <v>Service Revenue</v>
      </c>
      <c r="G5" s="11" t="str">
        <f t="array" ref="G5">IF($B5="","",IFERROR(INDEX(Accounts!$C$2:$C$100,MATCH($B5,Accounts!$A$2:$A$100,0)),""))</f>
        <v>Revenue</v>
      </c>
      <c r="H5" s="11" t="str">
        <f t="shared" si="0"/>
        <v>OK</v>
      </c>
      <c r="I5" s="13">
        <f t="shared" si="1"/>
        <v>46023</v>
      </c>
      <c r="J5" s="14">
        <f t="shared" si="2"/>
        <v>2000</v>
      </c>
    </row>
    <row r="6" customHeight="1" spans="1:10">
      <c r="A6" s="2">
        <v>46037</v>
      </c>
      <c r="B6" s="3">
        <v>5000</v>
      </c>
      <c r="C6" s="3" t="s">
        <v>234</v>
      </c>
      <c r="D6" s="4">
        <v>1800</v>
      </c>
      <c r="E6" s="4"/>
      <c r="F6" s="11" t="str">
        <f t="array" ref="F6">IF($B6="","",IFERROR(INDEX(Accounts!$B$2:$B$100,MATCH($B6,Accounts!$A$2:$A$100,0)),""))</f>
        <v>Cost of Goods Sold</v>
      </c>
      <c r="G6" s="11" t="str">
        <f t="array" ref="G6">IF($B6="","",IFERROR(INDEX(Accounts!$C$2:$C$100,MATCH($B6,Accounts!$A$2:$A$100,0)),""))</f>
        <v>COGS</v>
      </c>
      <c r="H6" s="11" t="str">
        <f t="shared" si="0"/>
        <v>OK</v>
      </c>
      <c r="I6" s="13">
        <f t="shared" si="1"/>
        <v>46023</v>
      </c>
      <c r="J6" s="14">
        <f t="shared" si="2"/>
        <v>1800</v>
      </c>
    </row>
    <row r="7" customHeight="1" spans="1:10">
      <c r="A7" s="2">
        <v>46037</v>
      </c>
      <c r="B7" s="3">
        <v>1000</v>
      </c>
      <c r="C7" s="3" t="s">
        <v>234</v>
      </c>
      <c r="D7" s="4"/>
      <c r="E7" s="4">
        <v>1800</v>
      </c>
      <c r="F7" s="11" t="str">
        <f t="array" ref="F7">IF($B7="","",IFERROR(INDEX(Accounts!$B$2:$B$100,MATCH($B7,Accounts!$A$2:$A$100,0)),""))</f>
        <v>Cash</v>
      </c>
      <c r="G7" s="11" t="str">
        <f t="array" ref="G7">IF($B7="","",IFERROR(INDEX(Accounts!$C$2:$C$100,MATCH($B7,Accounts!$A$2:$A$100,0)),""))</f>
        <v>Balance Sheet</v>
      </c>
      <c r="H7" s="11" t="str">
        <f t="shared" si="0"/>
        <v>OK</v>
      </c>
      <c r="I7" s="13">
        <f t="shared" si="1"/>
        <v>46023</v>
      </c>
      <c r="J7" s="14">
        <f t="shared" si="2"/>
        <v>0</v>
      </c>
    </row>
    <row r="8" customHeight="1" spans="1:10">
      <c r="A8" s="2">
        <v>46050</v>
      </c>
      <c r="B8" s="3">
        <v>6000</v>
      </c>
      <c r="C8" s="3" t="s">
        <v>218</v>
      </c>
      <c r="D8" s="4">
        <v>2500</v>
      </c>
      <c r="E8" s="4"/>
      <c r="F8" s="11" t="str">
        <f t="array" ref="F8">IF($B8="","",IFERROR(INDEX(Accounts!$B$2:$B$100,MATCH($B8,Accounts!$A$2:$A$100,0)),""))</f>
        <v>Salaries</v>
      </c>
      <c r="G8" s="11" t="str">
        <f t="array" ref="G8">IF($B8="","",IFERROR(INDEX(Accounts!$C$2:$C$100,MATCH($B8,Accounts!$A$2:$A$100,0)),""))</f>
        <v>Opex</v>
      </c>
      <c r="H8" s="11" t="str">
        <f t="shared" si="0"/>
        <v>OK</v>
      </c>
      <c r="I8" s="13">
        <f t="shared" si="1"/>
        <v>46023</v>
      </c>
      <c r="J8" s="14">
        <f t="shared" si="2"/>
        <v>2500</v>
      </c>
    </row>
    <row r="9" customHeight="1" spans="1:10">
      <c r="A9" s="2">
        <v>46050</v>
      </c>
      <c r="B9" s="3">
        <v>1000</v>
      </c>
      <c r="C9" s="3" t="s">
        <v>218</v>
      </c>
      <c r="D9" s="4"/>
      <c r="E9" s="4">
        <v>2500</v>
      </c>
      <c r="F9" s="11" t="str">
        <f t="array" ref="F9">IF($B9="","",IFERROR(INDEX(Accounts!$B$2:$B$100,MATCH($B9,Accounts!$A$2:$A$100,0)),""))</f>
        <v>Cash</v>
      </c>
      <c r="G9" s="11" t="str">
        <f t="array" ref="G9">IF($B9="","",IFERROR(INDEX(Accounts!$C$2:$C$100,MATCH($B9,Accounts!$A$2:$A$100,0)),""))</f>
        <v>Balance Sheet</v>
      </c>
      <c r="H9" s="11" t="str">
        <f t="shared" si="0"/>
        <v>OK</v>
      </c>
      <c r="I9" s="13">
        <f t="shared" si="1"/>
        <v>46023</v>
      </c>
      <c r="J9" s="14">
        <f t="shared" si="2"/>
        <v>0</v>
      </c>
    </row>
    <row r="10" customHeight="1" spans="1:10">
      <c r="A10" s="2">
        <v>46052</v>
      </c>
      <c r="B10" s="3">
        <v>6100</v>
      </c>
      <c r="C10" s="3" t="s">
        <v>220</v>
      </c>
      <c r="D10" s="4">
        <v>1000</v>
      </c>
      <c r="E10" s="4"/>
      <c r="F10" s="11" t="str">
        <f t="array" ref="F10">IF($B10="","",IFERROR(INDEX(Accounts!$B$2:$B$100,MATCH($B10,Accounts!$A$2:$A$100,0)),""))</f>
        <v>Rent</v>
      </c>
      <c r="G10" s="11" t="str">
        <f t="array" ref="G10">IF($B10="","",IFERROR(INDEX(Accounts!$C$2:$C$100,MATCH($B10,Accounts!$A$2:$A$100,0)),""))</f>
        <v>Opex</v>
      </c>
      <c r="H10" s="11" t="str">
        <f t="shared" si="0"/>
        <v>OK</v>
      </c>
      <c r="I10" s="13">
        <f t="shared" si="1"/>
        <v>46023</v>
      </c>
      <c r="J10" s="14">
        <f t="shared" si="2"/>
        <v>1000</v>
      </c>
    </row>
    <row r="11" customHeight="1" spans="1:10">
      <c r="A11" s="2">
        <v>46052</v>
      </c>
      <c r="B11" s="3">
        <v>1000</v>
      </c>
      <c r="C11" s="3" t="s">
        <v>220</v>
      </c>
      <c r="D11" s="4"/>
      <c r="E11" s="4">
        <v>1000</v>
      </c>
      <c r="F11" s="11" t="str">
        <f t="array" ref="F11">IF($B11="","",IFERROR(INDEX(Accounts!$B$2:$B$100,MATCH($B11,Accounts!$A$2:$A$100,0)),""))</f>
        <v>Cash</v>
      </c>
      <c r="G11" s="11" t="str">
        <f t="array" ref="G11">IF($B11="","",IFERROR(INDEX(Accounts!$C$2:$C$100,MATCH($B11,Accounts!$A$2:$A$100,0)),""))</f>
        <v>Balance Sheet</v>
      </c>
      <c r="H11" s="11" t="str">
        <f t="shared" si="0"/>
        <v>OK</v>
      </c>
      <c r="I11" s="13">
        <f t="shared" si="1"/>
        <v>46023</v>
      </c>
      <c r="J11" s="14">
        <f t="shared" si="2"/>
        <v>0</v>
      </c>
    </row>
    <row r="12" customHeight="1" spans="1:10">
      <c r="A12" s="2">
        <v>46056</v>
      </c>
      <c r="B12" s="3">
        <v>1000</v>
      </c>
      <c r="C12" s="3" t="s">
        <v>235</v>
      </c>
      <c r="D12" s="4">
        <v>10000</v>
      </c>
      <c r="E12" s="4"/>
      <c r="F12" s="11" t="str">
        <f t="array" ref="F12">IF($B12="","",IFERROR(INDEX(Accounts!$B$2:$B$100,MATCH($B12,Accounts!$A$2:$A$100,0)),""))</f>
        <v>Cash</v>
      </c>
      <c r="G12" s="11" t="str">
        <f t="array" ref="G12">IF($B12="","",IFERROR(INDEX(Accounts!$C$2:$C$100,MATCH($B12,Accounts!$A$2:$A$100,0)),""))</f>
        <v>Balance Sheet</v>
      </c>
      <c r="H12" s="11" t="str">
        <f t="shared" si="0"/>
        <v>OK</v>
      </c>
      <c r="I12" s="13">
        <f t="shared" si="1"/>
        <v>46054</v>
      </c>
      <c r="J12" s="14">
        <f t="shared" si="2"/>
        <v>0</v>
      </c>
    </row>
    <row r="13" customHeight="1" spans="1:10">
      <c r="A13" s="2">
        <v>46056</v>
      </c>
      <c r="B13" s="3">
        <v>2500</v>
      </c>
      <c r="C13" s="3" t="s">
        <v>235</v>
      </c>
      <c r="D13" s="4"/>
      <c r="E13" s="4">
        <v>10000</v>
      </c>
      <c r="F13" s="11" t="str">
        <f t="array" ref="F13">IF($B13="","",IFERROR(INDEX(Accounts!$B$2:$B$100,MATCH($B13,Accounts!$A$2:$A$100,0)),""))</f>
        <v>Bank Loan</v>
      </c>
      <c r="G13" s="11" t="str">
        <f t="array" ref="G13">IF($B13="","",IFERROR(INDEX(Accounts!$C$2:$C$100,MATCH($B13,Accounts!$A$2:$A$100,0)),""))</f>
        <v>Balance Sheet</v>
      </c>
      <c r="H13" s="11" t="str">
        <f t="shared" si="0"/>
        <v>OK</v>
      </c>
      <c r="I13" s="13">
        <f t="shared" si="1"/>
        <v>46054</v>
      </c>
      <c r="J13" s="14">
        <f t="shared" si="2"/>
        <v>0</v>
      </c>
    </row>
    <row r="14" customHeight="1" spans="1:10">
      <c r="A14" s="2">
        <v>46061</v>
      </c>
      <c r="B14" s="3">
        <v>1000</v>
      </c>
      <c r="C14" s="3" t="s">
        <v>232</v>
      </c>
      <c r="D14" s="4">
        <v>6000</v>
      </c>
      <c r="E14" s="4"/>
      <c r="F14" s="11" t="str">
        <f t="array" ref="F14">IF($B14="","",IFERROR(INDEX(Accounts!$B$2:$B$100,MATCH($B14,Accounts!$A$2:$A$100,0)),""))</f>
        <v>Cash</v>
      </c>
      <c r="G14" s="11" t="str">
        <f t="array" ref="G14">IF($B14="","",IFERROR(INDEX(Accounts!$C$2:$C$100,MATCH($B14,Accounts!$A$2:$A$100,0)),""))</f>
        <v>Balance Sheet</v>
      </c>
      <c r="H14" s="11" t="str">
        <f t="shared" si="0"/>
        <v>OK</v>
      </c>
      <c r="I14" s="13">
        <f t="shared" si="1"/>
        <v>46054</v>
      </c>
      <c r="J14" s="14">
        <f t="shared" si="2"/>
        <v>0</v>
      </c>
    </row>
    <row r="15" customHeight="1" spans="1:10">
      <c r="A15" s="2">
        <v>46061</v>
      </c>
      <c r="B15" s="3">
        <v>4000</v>
      </c>
      <c r="C15" s="3" t="s">
        <v>232</v>
      </c>
      <c r="D15" s="4"/>
      <c r="E15" s="4">
        <v>6000</v>
      </c>
      <c r="F15" s="11" t="str">
        <f t="array" ref="F15">IF($B15="","",IFERROR(INDEX(Accounts!$B$2:$B$100,MATCH($B15,Accounts!$A$2:$A$100,0)),""))</f>
        <v>Product Sales</v>
      </c>
      <c r="G15" s="11" t="str">
        <f t="array" ref="G15">IF($B15="","",IFERROR(INDEX(Accounts!$C$2:$C$100,MATCH($B15,Accounts!$A$2:$A$100,0)),""))</f>
        <v>Revenue</v>
      </c>
      <c r="H15" s="11" t="str">
        <f t="shared" si="0"/>
        <v>OK</v>
      </c>
      <c r="I15" s="13">
        <f t="shared" si="1"/>
        <v>46054</v>
      </c>
      <c r="J15" s="14">
        <f t="shared" si="2"/>
        <v>6000</v>
      </c>
    </row>
    <row r="16" customHeight="1" spans="1:10">
      <c r="A16" s="2">
        <v>46068</v>
      </c>
      <c r="B16" s="3">
        <v>6200</v>
      </c>
      <c r="C16" s="3" t="s">
        <v>221</v>
      </c>
      <c r="D16" s="4">
        <v>800</v>
      </c>
      <c r="E16" s="4"/>
      <c r="F16" s="11" t="str">
        <f t="array" ref="F16">IF($B16="","",IFERROR(INDEX(Accounts!$B$2:$B$100,MATCH($B16,Accounts!$A$2:$A$100,0)),""))</f>
        <v>Marketing</v>
      </c>
      <c r="G16" s="11" t="str">
        <f t="array" ref="G16">IF($B16="","",IFERROR(INDEX(Accounts!$C$2:$C$100,MATCH($B16,Accounts!$A$2:$A$100,0)),""))</f>
        <v>Opex</v>
      </c>
      <c r="H16" s="11" t="str">
        <f t="shared" si="0"/>
        <v>OK</v>
      </c>
      <c r="I16" s="13">
        <f t="shared" si="1"/>
        <v>46054</v>
      </c>
      <c r="J16" s="14">
        <f t="shared" si="2"/>
        <v>800</v>
      </c>
    </row>
    <row r="17" customHeight="1" spans="1:10">
      <c r="A17" s="2">
        <v>46068</v>
      </c>
      <c r="B17" s="3">
        <v>1000</v>
      </c>
      <c r="C17" s="3" t="s">
        <v>221</v>
      </c>
      <c r="D17" s="4"/>
      <c r="E17" s="4">
        <v>800</v>
      </c>
      <c r="F17" s="11" t="str">
        <f t="array" ref="F17">IF($B17="","",IFERROR(INDEX(Accounts!$B$2:$B$100,MATCH($B17,Accounts!$A$2:$A$100,0)),""))</f>
        <v>Cash</v>
      </c>
      <c r="G17" s="11" t="str">
        <f t="array" ref="G17">IF($B17="","",IFERROR(INDEX(Accounts!$C$2:$C$100,MATCH($B17,Accounts!$A$2:$A$100,0)),""))</f>
        <v>Balance Sheet</v>
      </c>
      <c r="H17" s="11" t="str">
        <f t="shared" si="0"/>
        <v>OK</v>
      </c>
      <c r="I17" s="13">
        <f t="shared" si="1"/>
        <v>46054</v>
      </c>
      <c r="J17" s="14">
        <f t="shared" si="2"/>
        <v>0</v>
      </c>
    </row>
    <row r="18" customHeight="1" spans="1:10">
      <c r="A18" s="2">
        <v>46081</v>
      </c>
      <c r="B18" s="3">
        <v>6000</v>
      </c>
      <c r="C18" s="3" t="s">
        <v>218</v>
      </c>
      <c r="D18" s="4">
        <v>2500</v>
      </c>
      <c r="E18" s="4"/>
      <c r="F18" s="11" t="str">
        <f t="array" ref="F18">IF($B18="","",IFERROR(INDEX(Accounts!$B$2:$B$100,MATCH($B18,Accounts!$A$2:$A$100,0)),""))</f>
        <v>Salaries</v>
      </c>
      <c r="G18" s="11" t="str">
        <f t="array" ref="G18">IF($B18="","",IFERROR(INDEX(Accounts!$C$2:$C$100,MATCH($B18,Accounts!$A$2:$A$100,0)),""))</f>
        <v>Opex</v>
      </c>
      <c r="H18" s="11" t="str">
        <f t="shared" si="0"/>
        <v>OK</v>
      </c>
      <c r="I18" s="13">
        <f t="shared" si="1"/>
        <v>46054</v>
      </c>
      <c r="J18" s="14">
        <f t="shared" si="2"/>
        <v>2500</v>
      </c>
    </row>
    <row r="19" customHeight="1" spans="1:10">
      <c r="A19" s="2">
        <v>46081</v>
      </c>
      <c r="B19" s="3">
        <v>1000</v>
      </c>
      <c r="C19" s="3" t="s">
        <v>218</v>
      </c>
      <c r="D19" s="4"/>
      <c r="E19" s="4">
        <v>2500</v>
      </c>
      <c r="F19" s="11" t="str">
        <f t="array" ref="F19">IF($B19="","",IFERROR(INDEX(Accounts!$B$2:$B$100,MATCH($B19,Accounts!$A$2:$A$100,0)),""))</f>
        <v>Cash</v>
      </c>
      <c r="G19" s="11" t="str">
        <f t="array" ref="G19">IF($B19="","",IFERROR(INDEX(Accounts!$C$2:$C$100,MATCH($B19,Accounts!$A$2:$A$100,0)),""))</f>
        <v>Balance Sheet</v>
      </c>
      <c r="H19" s="11" t="str">
        <f t="shared" si="0"/>
        <v>OK</v>
      </c>
      <c r="I19" s="13">
        <f t="shared" si="1"/>
        <v>46054</v>
      </c>
      <c r="J19" s="14">
        <f t="shared" si="2"/>
        <v>0</v>
      </c>
    </row>
    <row r="20" customHeight="1" spans="1:10">
      <c r="A20" s="2">
        <v>46086</v>
      </c>
      <c r="B20" s="3">
        <v>1000</v>
      </c>
      <c r="C20" s="3" t="s">
        <v>232</v>
      </c>
      <c r="D20" s="4">
        <v>7000</v>
      </c>
      <c r="E20" s="4"/>
      <c r="F20" s="11" t="str">
        <f t="array" ref="F20">IF($B20="","",IFERROR(INDEX(Accounts!$B$2:$B$100,MATCH($B20,Accounts!$A$2:$A$100,0)),""))</f>
        <v>Cash</v>
      </c>
      <c r="G20" s="11" t="str">
        <f t="array" ref="G20">IF($B20="","",IFERROR(INDEX(Accounts!$C$2:$C$100,MATCH($B20,Accounts!$A$2:$A$100,0)),""))</f>
        <v>Balance Sheet</v>
      </c>
      <c r="H20" s="11" t="str">
        <f t="shared" si="0"/>
        <v>OK</v>
      </c>
      <c r="I20" s="13">
        <f t="shared" si="1"/>
        <v>46082</v>
      </c>
      <c r="J20" s="14">
        <f t="shared" si="2"/>
        <v>0</v>
      </c>
    </row>
    <row r="21" customHeight="1" spans="1:10">
      <c r="A21" s="2">
        <v>46086</v>
      </c>
      <c r="B21" s="3">
        <v>4000</v>
      </c>
      <c r="C21" s="3" t="s">
        <v>232</v>
      </c>
      <c r="D21" s="4"/>
      <c r="E21" s="4">
        <v>7000</v>
      </c>
      <c r="F21" s="11" t="str">
        <f t="array" ref="F21">IF($B21="","",IFERROR(INDEX(Accounts!$B$2:$B$100,MATCH($B21,Accounts!$A$2:$A$100,0)),""))</f>
        <v>Product Sales</v>
      </c>
      <c r="G21" s="11" t="str">
        <f t="array" ref="G21">IF($B21="","",IFERROR(INDEX(Accounts!$C$2:$C$100,MATCH($B21,Accounts!$A$2:$A$100,0)),""))</f>
        <v>Revenue</v>
      </c>
      <c r="H21" s="11" t="str">
        <f t="shared" si="0"/>
        <v>OK</v>
      </c>
      <c r="I21" s="13">
        <f t="shared" si="1"/>
        <v>46082</v>
      </c>
      <c r="J21" s="14">
        <f t="shared" si="2"/>
        <v>7000</v>
      </c>
    </row>
    <row r="22" customHeight="1" spans="1:10">
      <c r="A22" s="2">
        <v>46093</v>
      </c>
      <c r="B22" s="3">
        <v>6900</v>
      </c>
      <c r="C22" s="3" t="s">
        <v>222</v>
      </c>
      <c r="D22" s="4">
        <v>400</v>
      </c>
      <c r="E22" s="4"/>
      <c r="F22" s="11" t="str">
        <f t="array" ref="F22">IF($B22="","",IFERROR(INDEX(Accounts!$B$2:$B$100,MATCH($B22,Accounts!$A$2:$A$100,0)),""))</f>
        <v>Travel</v>
      </c>
      <c r="G22" s="11" t="str">
        <f t="array" ref="G22">IF($B22="","",IFERROR(INDEX(Accounts!$C$2:$C$100,MATCH($B22,Accounts!$A$2:$A$100,0)),""))</f>
        <v>Opex</v>
      </c>
      <c r="H22" s="11" t="str">
        <f t="shared" si="0"/>
        <v>OK</v>
      </c>
      <c r="I22" s="13">
        <f t="shared" si="1"/>
        <v>46082</v>
      </c>
      <c r="J22" s="14">
        <f t="shared" si="2"/>
        <v>400</v>
      </c>
    </row>
    <row r="23" customHeight="1" spans="1:10">
      <c r="A23" s="2">
        <v>46093</v>
      </c>
      <c r="B23" s="3">
        <v>1000</v>
      </c>
      <c r="C23" s="3" t="s">
        <v>222</v>
      </c>
      <c r="D23" s="4"/>
      <c r="E23" s="4">
        <v>400</v>
      </c>
      <c r="F23" s="11" t="str">
        <f t="array" ref="F23">IF($B23="","",IFERROR(INDEX(Accounts!$B$2:$B$100,MATCH($B23,Accounts!$A$2:$A$100,0)),""))</f>
        <v>Cash</v>
      </c>
      <c r="G23" s="11" t="str">
        <f t="array" ref="G23">IF($B23="","",IFERROR(INDEX(Accounts!$C$2:$C$100,MATCH($B23,Accounts!$A$2:$A$100,0)),""))</f>
        <v>Balance Sheet</v>
      </c>
      <c r="H23" s="11" t="str">
        <f t="shared" si="0"/>
        <v>OK</v>
      </c>
      <c r="I23" s="13">
        <f t="shared" si="1"/>
        <v>46082</v>
      </c>
      <c r="J23" s="14">
        <f t="shared" si="2"/>
        <v>0</v>
      </c>
    </row>
    <row r="24" customHeight="1" spans="1:10">
      <c r="A24" s="2">
        <v>46109</v>
      </c>
      <c r="B24" s="3">
        <v>6000</v>
      </c>
      <c r="C24" s="3" t="s">
        <v>218</v>
      </c>
      <c r="D24" s="4">
        <v>2500</v>
      </c>
      <c r="E24" s="4"/>
      <c r="F24" s="11" t="str">
        <f t="array" ref="F24">IF($B24="","",IFERROR(INDEX(Accounts!$B$2:$B$100,MATCH($B24,Accounts!$A$2:$A$100,0)),""))</f>
        <v>Salaries</v>
      </c>
      <c r="G24" s="11" t="str">
        <f t="array" ref="G24">IF($B24="","",IFERROR(INDEX(Accounts!$C$2:$C$100,MATCH($B24,Accounts!$A$2:$A$100,0)),""))</f>
        <v>Opex</v>
      </c>
      <c r="H24" s="11" t="str">
        <f t="shared" si="0"/>
        <v>OK</v>
      </c>
      <c r="I24" s="13">
        <f t="shared" si="1"/>
        <v>46082</v>
      </c>
      <c r="J24" s="14">
        <f t="shared" si="2"/>
        <v>2500</v>
      </c>
    </row>
    <row r="25" customHeight="1" spans="1:10">
      <c r="A25" s="2">
        <v>46109</v>
      </c>
      <c r="B25" s="3">
        <v>1000</v>
      </c>
      <c r="C25" s="3" t="s">
        <v>218</v>
      </c>
      <c r="D25" s="4"/>
      <c r="E25" s="4">
        <v>2500</v>
      </c>
      <c r="F25" s="11" t="str">
        <f t="array" ref="F25">IF($B25="","",IFERROR(INDEX(Accounts!$B$2:$B$100,MATCH($B25,Accounts!$A$2:$A$100,0)),""))</f>
        <v>Cash</v>
      </c>
      <c r="G25" s="11" t="str">
        <f t="array" ref="G25">IF($B25="","",IFERROR(INDEX(Accounts!$C$2:$C$100,MATCH($B25,Accounts!$A$2:$A$100,0)),""))</f>
        <v>Balance Sheet</v>
      </c>
      <c r="H25" s="11" t="str">
        <f t="shared" si="0"/>
        <v>OK</v>
      </c>
      <c r="I25" s="13">
        <f t="shared" si="1"/>
        <v>46082</v>
      </c>
      <c r="J25" s="14">
        <f t="shared" si="2"/>
        <v>0</v>
      </c>
    </row>
    <row r="26" customHeight="1" spans="1:10">
      <c r="A26" s="5">
        <v>46116</v>
      </c>
      <c r="B26" s="3">
        <v>1000</v>
      </c>
      <c r="C26" s="3" t="s">
        <v>232</v>
      </c>
      <c r="D26" s="4">
        <v>8000</v>
      </c>
      <c r="E26" s="4"/>
      <c r="F26" s="11" t="str">
        <f t="array" ref="F26">IF($B26="","",IFERROR(INDEX(Accounts!$B$2:$B$100,MATCH($B26,Accounts!$A$2:$A$100,0)),""))</f>
        <v>Cash</v>
      </c>
      <c r="G26" s="11" t="str">
        <f t="array" ref="G26">IF($B26="","",IFERROR(INDEX(Accounts!$C$2:$C$100,MATCH($B26,Accounts!$A$2:$A$100,0)),""))</f>
        <v>Balance Sheet</v>
      </c>
      <c r="H26" s="11" t="str">
        <f t="shared" si="0"/>
        <v>OK</v>
      </c>
      <c r="I26" s="13">
        <f t="shared" si="1"/>
        <v>46113</v>
      </c>
      <c r="J26" s="14">
        <f t="shared" si="2"/>
        <v>0</v>
      </c>
    </row>
    <row r="27" customHeight="1" spans="1:10">
      <c r="A27" s="5">
        <v>46116</v>
      </c>
      <c r="B27" s="3">
        <v>4000</v>
      </c>
      <c r="C27" s="3" t="s">
        <v>232</v>
      </c>
      <c r="D27" s="4"/>
      <c r="E27" s="4">
        <v>8000</v>
      </c>
      <c r="F27" s="11" t="str">
        <f t="array" ref="F27">IF($B27="","",IFERROR(INDEX(Accounts!$B$2:$B$100,MATCH($B27,Accounts!$A$2:$A$100,0)),""))</f>
        <v>Product Sales</v>
      </c>
      <c r="G27" s="11" t="str">
        <f t="array" ref="G27">IF($B27="","",IFERROR(INDEX(Accounts!$C$2:$C$100,MATCH($B27,Accounts!$A$2:$A$100,0)),""))</f>
        <v>Revenue</v>
      </c>
      <c r="H27" s="11" t="str">
        <f t="shared" si="0"/>
        <v>OK</v>
      </c>
      <c r="I27" s="13">
        <f t="shared" si="1"/>
        <v>46113</v>
      </c>
      <c r="J27" s="14">
        <f t="shared" si="2"/>
        <v>8000</v>
      </c>
    </row>
    <row r="28" customHeight="1" spans="1:10">
      <c r="A28" s="5">
        <v>46127</v>
      </c>
      <c r="B28" s="3">
        <v>6200</v>
      </c>
      <c r="C28" s="3" t="s">
        <v>221</v>
      </c>
      <c r="D28" s="4">
        <v>600</v>
      </c>
      <c r="E28" s="4"/>
      <c r="F28" s="11" t="str">
        <f t="array" ref="F28">IF($B28="","",IFERROR(INDEX(Accounts!$B$2:$B$100,MATCH($B28,Accounts!$A$2:$A$100,0)),""))</f>
        <v>Marketing</v>
      </c>
      <c r="G28" s="11" t="str">
        <f t="array" ref="G28">IF($B28="","",IFERROR(INDEX(Accounts!$C$2:$C$100,MATCH($B28,Accounts!$A$2:$A$100,0)),""))</f>
        <v>Opex</v>
      </c>
      <c r="H28" s="11" t="str">
        <f t="shared" si="0"/>
        <v>OK</v>
      </c>
      <c r="I28" s="13">
        <f t="shared" si="1"/>
        <v>46113</v>
      </c>
      <c r="J28" s="14">
        <f t="shared" si="2"/>
        <v>600</v>
      </c>
    </row>
    <row r="29" customHeight="1" spans="1:10">
      <c r="A29" s="5">
        <v>46127</v>
      </c>
      <c r="B29" s="3">
        <v>1000</v>
      </c>
      <c r="C29" s="3" t="s">
        <v>221</v>
      </c>
      <c r="D29" s="4"/>
      <c r="E29" s="4">
        <v>600</v>
      </c>
      <c r="F29" s="11" t="str">
        <f t="array" ref="F29">IF($B29="","",IFERROR(INDEX(Accounts!$B$2:$B$100,MATCH($B29,Accounts!$A$2:$A$100,0)),""))</f>
        <v>Cash</v>
      </c>
      <c r="G29" s="11" t="str">
        <f t="array" ref="G29">IF($B29="","",IFERROR(INDEX(Accounts!$C$2:$C$100,MATCH($B29,Accounts!$A$2:$A$100,0)),""))</f>
        <v>Balance Sheet</v>
      </c>
      <c r="H29" s="11" t="str">
        <f t="shared" si="0"/>
        <v>OK</v>
      </c>
      <c r="I29" s="13">
        <f t="shared" si="1"/>
        <v>46113</v>
      </c>
      <c r="J29" s="14">
        <f t="shared" si="2"/>
        <v>0</v>
      </c>
    </row>
    <row r="30" customHeight="1" spans="1:10">
      <c r="A30" s="5">
        <v>46132</v>
      </c>
      <c r="B30" s="3">
        <v>6100</v>
      </c>
      <c r="C30" s="3" t="s">
        <v>220</v>
      </c>
      <c r="D30" s="4">
        <v>1000</v>
      </c>
      <c r="E30" s="4"/>
      <c r="F30" s="11" t="str">
        <f t="array" ref="F30">IF($B30="","",IFERROR(INDEX(Accounts!$B$2:$B$100,MATCH($B30,Accounts!$A$2:$A$100,0)),""))</f>
        <v>Rent</v>
      </c>
      <c r="G30" s="11" t="str">
        <f t="array" ref="G30">IF($B30="","",IFERROR(INDEX(Accounts!$C$2:$C$100,MATCH($B30,Accounts!$A$2:$A$100,0)),""))</f>
        <v>Opex</v>
      </c>
      <c r="H30" s="11" t="str">
        <f t="shared" si="0"/>
        <v>OK</v>
      </c>
      <c r="I30" s="13">
        <f t="shared" si="1"/>
        <v>46113</v>
      </c>
      <c r="J30" s="14">
        <f t="shared" si="2"/>
        <v>1000</v>
      </c>
    </row>
    <row r="31" customHeight="1" spans="1:10">
      <c r="A31" s="5">
        <v>46132</v>
      </c>
      <c r="B31" s="3">
        <v>1000</v>
      </c>
      <c r="C31" s="3" t="s">
        <v>220</v>
      </c>
      <c r="D31" s="4"/>
      <c r="E31" s="4">
        <v>1000</v>
      </c>
      <c r="F31" s="11" t="str">
        <f t="array" ref="F31">IF($B31="","",IFERROR(INDEX(Accounts!$B$2:$B$100,MATCH($B31,Accounts!$A$2:$A$100,0)),""))</f>
        <v>Cash</v>
      </c>
      <c r="G31" s="11" t="str">
        <f t="array" ref="G31">IF($B31="","",IFERROR(INDEX(Accounts!$C$2:$C$100,MATCH($B31,Accounts!$A$2:$A$100,0)),""))</f>
        <v>Balance Sheet</v>
      </c>
      <c r="H31" s="11" t="str">
        <f t="shared" si="0"/>
        <v>OK</v>
      </c>
      <c r="I31" s="13">
        <f t="shared" si="1"/>
        <v>46113</v>
      </c>
      <c r="J31" s="14">
        <f t="shared" si="2"/>
        <v>0</v>
      </c>
    </row>
    <row r="32" customHeight="1" spans="1:10">
      <c r="A32" s="5">
        <v>46140</v>
      </c>
      <c r="B32" s="3">
        <v>6000</v>
      </c>
      <c r="C32" s="3" t="s">
        <v>218</v>
      </c>
      <c r="D32" s="4">
        <v>2500</v>
      </c>
      <c r="E32" s="4"/>
      <c r="F32" s="11" t="str">
        <f t="array" ref="F32">IF($B32="","",IFERROR(INDEX(Accounts!$B$2:$B$100,MATCH($B32,Accounts!$A$2:$A$100,0)),""))</f>
        <v>Salaries</v>
      </c>
      <c r="G32" s="11" t="str">
        <f t="array" ref="G32">IF($B32="","",IFERROR(INDEX(Accounts!$C$2:$C$100,MATCH($B32,Accounts!$A$2:$A$100,0)),""))</f>
        <v>Opex</v>
      </c>
      <c r="H32" s="11" t="str">
        <f t="shared" si="0"/>
        <v>OK</v>
      </c>
      <c r="I32" s="13">
        <f t="shared" si="1"/>
        <v>46113</v>
      </c>
      <c r="J32" s="14">
        <f t="shared" si="2"/>
        <v>2500</v>
      </c>
    </row>
    <row r="33" customHeight="1" spans="1:10">
      <c r="A33" s="5">
        <v>46140</v>
      </c>
      <c r="B33" s="3">
        <v>1000</v>
      </c>
      <c r="C33" s="3" t="s">
        <v>218</v>
      </c>
      <c r="D33" s="4"/>
      <c r="E33" s="4">
        <v>2500</v>
      </c>
      <c r="F33" s="11" t="str">
        <f t="array" ref="F33">IF($B33="","",IFERROR(INDEX(Accounts!$B$2:$B$100,MATCH($B33,Accounts!$A$2:$A$100,0)),""))</f>
        <v>Cash</v>
      </c>
      <c r="G33" s="11" t="str">
        <f t="array" ref="G33">IF($B33="","",IFERROR(INDEX(Accounts!$C$2:$C$100,MATCH($B33,Accounts!$A$2:$A$100,0)),""))</f>
        <v>Balance Sheet</v>
      </c>
      <c r="H33" s="11" t="str">
        <f t="shared" si="0"/>
        <v>OK</v>
      </c>
      <c r="I33" s="13">
        <f t="shared" si="1"/>
        <v>46113</v>
      </c>
      <c r="J33" s="14">
        <f t="shared" si="2"/>
        <v>0</v>
      </c>
    </row>
    <row r="34" customHeight="1" spans="1:10">
      <c r="A34" s="2">
        <v>46096</v>
      </c>
      <c r="B34" s="3">
        <v>1100</v>
      </c>
      <c r="C34" s="3" t="s">
        <v>236</v>
      </c>
      <c r="D34" s="4">
        <v>5000</v>
      </c>
      <c r="E34" s="4"/>
      <c r="F34" s="11" t="str">
        <f t="array" ref="F34">IF($B34="","",IFERROR(INDEX(Accounts!$B$2:$B$100,MATCH($B34,Accounts!$A$2:$A$100,0)),""))</f>
        <v>Accounts Receivable</v>
      </c>
      <c r="G34" s="11" t="str">
        <f t="array" ref="G34">IF($B34="","",IFERROR(INDEX(Accounts!$C$2:$C$100,MATCH($B34,Accounts!$A$2:$A$100,0)),""))</f>
        <v>Balance Sheet</v>
      </c>
      <c r="H34" s="11" t="str">
        <f t="shared" si="0"/>
        <v>OK</v>
      </c>
      <c r="I34" s="13">
        <f t="shared" si="1"/>
        <v>46082</v>
      </c>
      <c r="J34" s="14">
        <f t="shared" si="2"/>
        <v>0</v>
      </c>
    </row>
    <row r="35" customHeight="1" spans="1:10">
      <c r="A35" s="2">
        <v>46096</v>
      </c>
      <c r="B35" s="3">
        <v>4100</v>
      </c>
      <c r="C35" s="3" t="s">
        <v>236</v>
      </c>
      <c r="D35" s="4"/>
      <c r="E35" s="4">
        <v>5000</v>
      </c>
      <c r="F35" s="11" t="str">
        <f t="array" ref="F35">IF($B35="","",IFERROR(INDEX(Accounts!$B$2:$B$100,MATCH($B35,Accounts!$A$2:$A$100,0)),""))</f>
        <v>Service Revenue</v>
      </c>
      <c r="G35" s="11" t="str">
        <f t="array" ref="G35">IF($B35="","",IFERROR(INDEX(Accounts!$C$2:$C$100,MATCH($B35,Accounts!$A$2:$A$100,0)),""))</f>
        <v>Revenue</v>
      </c>
      <c r="H35" s="11" t="str">
        <f t="shared" si="0"/>
        <v>OK</v>
      </c>
      <c r="I35" s="13">
        <f t="shared" si="1"/>
        <v>46082</v>
      </c>
      <c r="J35" s="14">
        <f t="shared" si="2"/>
        <v>5000</v>
      </c>
    </row>
    <row r="36" customHeight="1" spans="1:10">
      <c r="A36" s="2">
        <v>46101</v>
      </c>
      <c r="B36" s="3">
        <v>6200</v>
      </c>
      <c r="C36" s="3" t="s">
        <v>237</v>
      </c>
      <c r="D36" s="4">
        <v>1200</v>
      </c>
      <c r="E36" s="4"/>
      <c r="F36" s="11" t="str">
        <f t="array" ref="F36">IF($B36="","",IFERROR(INDEX(Accounts!$B$2:$B$100,MATCH($B36,Accounts!$A$2:$A$100,0)),""))</f>
        <v>Marketing</v>
      </c>
      <c r="G36" s="11" t="str">
        <f t="array" ref="G36">IF($B36="","",IFERROR(INDEX(Accounts!$C$2:$C$100,MATCH($B36,Accounts!$A$2:$A$100,0)),""))</f>
        <v>Opex</v>
      </c>
      <c r="H36" s="11" t="str">
        <f t="shared" si="0"/>
        <v>OK</v>
      </c>
      <c r="I36" s="13">
        <f t="shared" si="1"/>
        <v>46082</v>
      </c>
      <c r="J36" s="14">
        <f t="shared" si="2"/>
        <v>1200</v>
      </c>
    </row>
    <row r="37" customHeight="1" spans="1:10">
      <c r="A37" s="2">
        <v>46101</v>
      </c>
      <c r="B37" s="3">
        <v>2000</v>
      </c>
      <c r="C37" s="3" t="s">
        <v>237</v>
      </c>
      <c r="D37" s="4"/>
      <c r="E37" s="4">
        <v>1200</v>
      </c>
      <c r="F37" s="11" t="str">
        <f t="array" ref="F37">IF($B37="","",IFERROR(INDEX(Accounts!$B$2:$B$100,MATCH($B37,Accounts!$A$2:$A$100,0)),""))</f>
        <v>Accounts Payable</v>
      </c>
      <c r="G37" s="11" t="str">
        <f t="array" ref="G37">IF($B37="","",IFERROR(INDEX(Accounts!$C$2:$C$100,MATCH($B37,Accounts!$A$2:$A$100,0)),""))</f>
        <v>Balance Sheet</v>
      </c>
      <c r="H37" s="11" t="str">
        <f t="shared" si="0"/>
        <v>OK</v>
      </c>
      <c r="I37" s="13">
        <f t="shared" si="1"/>
        <v>46082</v>
      </c>
      <c r="J37" s="14">
        <f t="shared" si="2"/>
        <v>0</v>
      </c>
    </row>
    <row r="38" customHeight="1" spans="1:10">
      <c r="A38" s="2">
        <v>46122</v>
      </c>
      <c r="B38" s="3">
        <v>1000</v>
      </c>
      <c r="C38" s="3" t="s">
        <v>238</v>
      </c>
      <c r="D38" s="4">
        <v>3000</v>
      </c>
      <c r="E38" s="4"/>
      <c r="F38" s="11" t="str">
        <f t="array" ref="F38">IF($B38="","",IFERROR(INDEX(Accounts!$B$2:$B$100,MATCH($B38,Accounts!$A$2:$A$100,0)),""))</f>
        <v>Cash</v>
      </c>
      <c r="G38" s="11" t="str">
        <f t="array" ref="G38">IF($B38="","",IFERROR(INDEX(Accounts!$C$2:$C$100,MATCH($B38,Accounts!$A$2:$A$100,0)),""))</f>
        <v>Balance Sheet</v>
      </c>
      <c r="H38" s="11" t="str">
        <f t="shared" si="0"/>
        <v>OK</v>
      </c>
      <c r="I38" s="13">
        <f t="shared" si="1"/>
        <v>46113</v>
      </c>
      <c r="J38" s="14">
        <f t="shared" si="2"/>
        <v>0</v>
      </c>
    </row>
    <row r="39" customHeight="1" spans="1:10">
      <c r="A39" s="2">
        <v>46122</v>
      </c>
      <c r="B39" s="3">
        <v>1100</v>
      </c>
      <c r="C39" s="3" t="s">
        <v>238</v>
      </c>
      <c r="D39" s="4"/>
      <c r="E39" s="4">
        <v>3000</v>
      </c>
      <c r="F39" s="11" t="str">
        <f t="array" ref="F39">IF($B39="","",IFERROR(INDEX(Accounts!$B$2:$B$100,MATCH($B39,Accounts!$A$2:$A$100,0)),""))</f>
        <v>Accounts Receivable</v>
      </c>
      <c r="G39" s="11" t="str">
        <f t="array" ref="G39">IF($B39="","",IFERROR(INDEX(Accounts!$C$2:$C$100,MATCH($B39,Accounts!$A$2:$A$100,0)),""))</f>
        <v>Balance Sheet</v>
      </c>
      <c r="H39" s="11" t="str">
        <f t="shared" si="0"/>
        <v>OK</v>
      </c>
      <c r="I39" s="13">
        <f t="shared" si="1"/>
        <v>46113</v>
      </c>
      <c r="J39" s="14">
        <f t="shared" si="2"/>
        <v>0</v>
      </c>
    </row>
    <row r="40" customHeight="1" spans="1:10">
      <c r="A40" s="2">
        <v>46130</v>
      </c>
      <c r="B40" s="3">
        <v>2000</v>
      </c>
      <c r="C40" s="3" t="s">
        <v>239</v>
      </c>
      <c r="D40" s="4">
        <v>700</v>
      </c>
      <c r="E40" s="4"/>
      <c r="F40" s="11" t="str">
        <f t="array" ref="F40">IF($B40="","",IFERROR(INDEX(Accounts!$B$2:$B$100,MATCH($B40,Accounts!$A$2:$A$100,0)),""))</f>
        <v>Accounts Payable</v>
      </c>
      <c r="G40" s="11" t="str">
        <f t="array" ref="G40">IF($B40="","",IFERROR(INDEX(Accounts!$C$2:$C$100,MATCH($B40,Accounts!$A$2:$A$100,0)),""))</f>
        <v>Balance Sheet</v>
      </c>
      <c r="H40" s="11" t="str">
        <f t="shared" si="0"/>
        <v>OK</v>
      </c>
      <c r="I40" s="13">
        <f t="shared" si="1"/>
        <v>46113</v>
      </c>
      <c r="J40" s="14">
        <f t="shared" si="2"/>
        <v>0</v>
      </c>
    </row>
    <row r="41" customHeight="1" spans="1:10">
      <c r="A41" s="2">
        <v>46130</v>
      </c>
      <c r="B41" s="3">
        <v>1000</v>
      </c>
      <c r="C41" s="3" t="s">
        <v>239</v>
      </c>
      <c r="D41" s="4"/>
      <c r="E41" s="4">
        <v>700</v>
      </c>
      <c r="F41" s="11" t="str">
        <f t="array" ref="F41">IF($B41="","",IFERROR(INDEX(Accounts!$B$2:$B$100,MATCH($B41,Accounts!$A$2:$A$100,0)),""))</f>
        <v>Cash</v>
      </c>
      <c r="G41" s="11" t="str">
        <f t="array" ref="G41">IF($B41="","",IFERROR(INDEX(Accounts!$C$2:$C$100,MATCH($B41,Accounts!$A$2:$A$100,0)),""))</f>
        <v>Balance Sheet</v>
      </c>
      <c r="H41" s="11" t="str">
        <f t="shared" si="0"/>
        <v>OK</v>
      </c>
      <c r="I41" s="13">
        <f t="shared" si="1"/>
        <v>46113</v>
      </c>
      <c r="J41" s="14">
        <f t="shared" si="2"/>
        <v>0</v>
      </c>
    </row>
    <row r="42" customHeight="1" spans="1:10">
      <c r="A42" s="5"/>
      <c r="B42" s="6"/>
      <c r="C42" s="6"/>
      <c r="D42" s="7"/>
      <c r="E42" s="7"/>
      <c r="F42" s="11" t="str">
        <f t="array" ref="F42">IF($B42="","",IFERROR(INDEX(Accounts!$B$2:$B$100,MATCH($B42,Accounts!$A$2:$A$100,0)),""))</f>
        <v/>
      </c>
      <c r="G42" s="11" t="str">
        <f t="array" ref="G42">IF($B42="","",IFERROR(INDEX(Accounts!$C$2:$C$100,MATCH($B42,Accounts!$A$2:$A$100,0)),""))</f>
        <v/>
      </c>
      <c r="H42" s="11" t="str">
        <f t="shared" si="0"/>
        <v/>
      </c>
      <c r="I42" s="13" t="str">
        <f t="shared" si="1"/>
        <v/>
      </c>
      <c r="J42" s="14" t="str">
        <f t="shared" si="2"/>
        <v/>
      </c>
    </row>
    <row r="43" customHeight="1" spans="1:10">
      <c r="A43" s="5"/>
      <c r="B43" s="6"/>
      <c r="C43" s="6"/>
      <c r="D43" s="7"/>
      <c r="E43" s="7"/>
      <c r="F43" s="11" t="str">
        <f t="array" ref="F43">IF($B43="","",IFERROR(INDEX(Accounts!$B$2:$B$100,MATCH($B43,Accounts!$A$2:$A$100,0)),""))</f>
        <v/>
      </c>
      <c r="G43" s="11" t="str">
        <f t="array" ref="G43">IF($B43="","",IFERROR(INDEX(Accounts!$C$2:$C$100,MATCH($B43,Accounts!$A$2:$A$100,0)),""))</f>
        <v/>
      </c>
      <c r="H43" s="11" t="str">
        <f t="shared" si="0"/>
        <v/>
      </c>
      <c r="I43" s="13" t="str">
        <f t="shared" si="1"/>
        <v/>
      </c>
      <c r="J43" s="14" t="str">
        <f t="shared" si="2"/>
        <v/>
      </c>
    </row>
    <row r="44" customHeight="1" spans="1:10">
      <c r="A44" s="5"/>
      <c r="B44" s="6"/>
      <c r="C44" s="6"/>
      <c r="D44" s="7"/>
      <c r="E44" s="7"/>
      <c r="F44" s="11" t="str">
        <f t="array" ref="F44">IF($B44="","",IFERROR(INDEX(Accounts!$B$2:$B$100,MATCH($B44,Accounts!$A$2:$A$100,0)),""))</f>
        <v/>
      </c>
      <c r="G44" s="11" t="str">
        <f t="array" ref="G44">IF($B44="","",IFERROR(INDEX(Accounts!$C$2:$C$100,MATCH($B44,Accounts!$A$2:$A$100,0)),""))</f>
        <v/>
      </c>
      <c r="H44" s="11" t="str">
        <f t="shared" si="0"/>
        <v/>
      </c>
      <c r="I44" s="13" t="str">
        <f t="shared" si="1"/>
        <v/>
      </c>
      <c r="J44" s="14" t="str">
        <f t="shared" si="2"/>
        <v/>
      </c>
    </row>
    <row r="45" customHeight="1" spans="1:10">
      <c r="A45" s="5"/>
      <c r="B45" s="6"/>
      <c r="C45" s="6"/>
      <c r="D45" s="7"/>
      <c r="E45" s="7"/>
      <c r="F45" s="11" t="str">
        <f t="array" ref="F45">IF($B45="","",IFERROR(INDEX(Accounts!$B$2:$B$100,MATCH($B45,Accounts!$A$2:$A$100,0)),""))</f>
        <v/>
      </c>
      <c r="G45" s="11" t="str">
        <f t="array" ref="G45">IF($B45="","",IFERROR(INDEX(Accounts!$C$2:$C$100,MATCH($B45,Accounts!$A$2:$A$100,0)),""))</f>
        <v/>
      </c>
      <c r="H45" s="11" t="str">
        <f t="shared" si="0"/>
        <v/>
      </c>
      <c r="I45" s="13" t="str">
        <f t="shared" si="1"/>
        <v/>
      </c>
      <c r="J45" s="14" t="str">
        <f t="shared" si="2"/>
        <v/>
      </c>
    </row>
    <row r="46" customHeight="1" spans="1:10">
      <c r="A46" s="5"/>
      <c r="B46" s="6"/>
      <c r="C46" s="6"/>
      <c r="D46" s="7"/>
      <c r="E46" s="7"/>
      <c r="F46" s="11" t="str">
        <f t="array" ref="F46">IF($B46="","",IFERROR(INDEX(Accounts!$B$2:$B$100,MATCH($B46,Accounts!$A$2:$A$100,0)),""))</f>
        <v/>
      </c>
      <c r="G46" s="11" t="str">
        <f t="array" ref="G46">IF($B46="","",IFERROR(INDEX(Accounts!$C$2:$C$100,MATCH($B46,Accounts!$A$2:$A$100,0)),""))</f>
        <v/>
      </c>
      <c r="H46" s="11" t="str">
        <f t="shared" si="0"/>
        <v/>
      </c>
      <c r="I46" s="13" t="str">
        <f t="shared" si="1"/>
        <v/>
      </c>
      <c r="J46" s="14" t="str">
        <f t="shared" si="2"/>
        <v/>
      </c>
    </row>
    <row r="47" customHeight="1" spans="1:10">
      <c r="A47" s="5"/>
      <c r="B47" s="6"/>
      <c r="C47" s="6"/>
      <c r="D47" s="7"/>
      <c r="E47" s="7"/>
      <c r="F47" s="11" t="str">
        <f t="array" ref="F47">IF($B47="","",IFERROR(INDEX(Accounts!$B$2:$B$100,MATCH($B47,Accounts!$A$2:$A$100,0)),""))</f>
        <v/>
      </c>
      <c r="G47" s="11" t="str">
        <f t="array" ref="G47">IF($B47="","",IFERROR(INDEX(Accounts!$C$2:$C$100,MATCH($B47,Accounts!$A$2:$A$100,0)),""))</f>
        <v/>
      </c>
      <c r="H47" s="11" t="str">
        <f t="shared" si="0"/>
        <v/>
      </c>
      <c r="I47" s="13" t="str">
        <f t="shared" si="1"/>
        <v/>
      </c>
      <c r="J47" s="14" t="str">
        <f t="shared" si="2"/>
        <v/>
      </c>
    </row>
    <row r="48" customHeight="1" spans="1:10">
      <c r="A48" s="5"/>
      <c r="B48" s="6"/>
      <c r="C48" s="6"/>
      <c r="D48" s="7"/>
      <c r="E48" s="7"/>
      <c r="F48" s="11" t="str">
        <f t="array" ref="F48">IF($B48="","",IFERROR(INDEX(Accounts!$B$2:$B$100,MATCH($B48,Accounts!$A$2:$A$100,0)),""))</f>
        <v/>
      </c>
      <c r="G48" s="11" t="str">
        <f t="array" ref="G48">IF($B48="","",IFERROR(INDEX(Accounts!$C$2:$C$100,MATCH($B48,Accounts!$A$2:$A$100,0)),""))</f>
        <v/>
      </c>
      <c r="H48" s="11" t="str">
        <f t="shared" si="0"/>
        <v/>
      </c>
      <c r="I48" s="13" t="str">
        <f t="shared" si="1"/>
        <v/>
      </c>
      <c r="J48" s="14" t="str">
        <f t="shared" si="2"/>
        <v/>
      </c>
    </row>
    <row r="49" customHeight="1" spans="1:10">
      <c r="A49" s="5"/>
      <c r="B49" s="6"/>
      <c r="C49" s="6"/>
      <c r="D49" s="7"/>
      <c r="E49" s="7"/>
      <c r="F49" s="11" t="str">
        <f t="array" ref="F49">IF($B49="","",IFERROR(INDEX(Accounts!$B$2:$B$100,MATCH($B49,Accounts!$A$2:$A$100,0)),""))</f>
        <v/>
      </c>
      <c r="G49" s="11" t="str">
        <f t="array" ref="G49">IF($B49="","",IFERROR(INDEX(Accounts!$C$2:$C$100,MATCH($B49,Accounts!$A$2:$A$100,0)),""))</f>
        <v/>
      </c>
      <c r="H49" s="11" t="str">
        <f t="shared" si="0"/>
        <v/>
      </c>
      <c r="I49" s="13" t="str">
        <f t="shared" si="1"/>
        <v/>
      </c>
      <c r="J49" s="14" t="str">
        <f t="shared" si="2"/>
        <v/>
      </c>
    </row>
    <row r="50" customHeight="1" spans="1:10">
      <c r="A50" s="5"/>
      <c r="B50" s="6"/>
      <c r="C50" s="6"/>
      <c r="D50" s="7"/>
      <c r="E50" s="7"/>
      <c r="F50" s="11" t="str">
        <f t="array" ref="F50">IF($B50="","",IFERROR(INDEX(Accounts!$B$2:$B$100,MATCH($B50,Accounts!$A$2:$A$100,0)),""))</f>
        <v/>
      </c>
      <c r="G50" s="11" t="str">
        <f t="array" ref="G50">IF($B50="","",IFERROR(INDEX(Accounts!$C$2:$C$100,MATCH($B50,Accounts!$A$2:$A$100,0)),""))</f>
        <v/>
      </c>
      <c r="H50" s="11" t="str">
        <f t="shared" si="0"/>
        <v/>
      </c>
      <c r="I50" s="13" t="str">
        <f t="shared" si="1"/>
        <v/>
      </c>
      <c r="J50" s="14" t="str">
        <f t="shared" si="2"/>
        <v/>
      </c>
    </row>
    <row r="51" customHeight="1" spans="1:10">
      <c r="A51" s="5"/>
      <c r="B51" s="6"/>
      <c r="C51" s="6"/>
      <c r="D51" s="7"/>
      <c r="E51" s="7"/>
      <c r="F51" s="11" t="str">
        <f t="array" ref="F51">IF($B51="","",IFERROR(INDEX(Accounts!$B$2:$B$100,MATCH($B51,Accounts!$A$2:$A$100,0)),""))</f>
        <v/>
      </c>
      <c r="G51" s="11" t="str">
        <f t="array" ref="G51">IF($B51="","",IFERROR(INDEX(Accounts!$C$2:$C$100,MATCH($B51,Accounts!$A$2:$A$100,0)),""))</f>
        <v/>
      </c>
      <c r="H51" s="11" t="str">
        <f t="shared" si="0"/>
        <v/>
      </c>
      <c r="I51" s="13" t="str">
        <f t="shared" si="1"/>
        <v/>
      </c>
      <c r="J51" s="14" t="str">
        <f t="shared" si="2"/>
        <v/>
      </c>
    </row>
    <row r="52" customHeight="1" spans="1:10">
      <c r="A52" s="5"/>
      <c r="B52" s="6"/>
      <c r="C52" s="6"/>
      <c r="D52" s="7"/>
      <c r="E52" s="7"/>
      <c r="F52" s="11" t="str">
        <f t="array" ref="F52">IF($B52="","",IFERROR(INDEX(Accounts!$B$2:$B$100,MATCH($B52,Accounts!$A$2:$A$100,0)),""))</f>
        <v/>
      </c>
      <c r="G52" s="11" t="str">
        <f t="array" ref="G52">IF($B52="","",IFERROR(INDEX(Accounts!$C$2:$C$100,MATCH($B52,Accounts!$A$2:$A$100,0)),""))</f>
        <v/>
      </c>
      <c r="H52" s="11" t="str">
        <f t="shared" si="0"/>
        <v/>
      </c>
      <c r="I52" s="13" t="str">
        <f t="shared" si="1"/>
        <v/>
      </c>
      <c r="J52" s="14" t="str">
        <f t="shared" si="2"/>
        <v/>
      </c>
    </row>
    <row r="53" customHeight="1" spans="1:10">
      <c r="A53" s="5"/>
      <c r="B53" s="6"/>
      <c r="C53" s="6"/>
      <c r="D53" s="7"/>
      <c r="E53" s="7"/>
      <c r="F53" s="11" t="str">
        <f t="array" ref="F53">IF($B53="","",IFERROR(INDEX(Accounts!$B$2:$B$100,MATCH($B53,Accounts!$A$2:$A$100,0)),""))</f>
        <v/>
      </c>
      <c r="G53" s="11" t="str">
        <f t="array" ref="G53">IF($B53="","",IFERROR(INDEX(Accounts!$C$2:$C$100,MATCH($B53,Accounts!$A$2:$A$100,0)),""))</f>
        <v/>
      </c>
      <c r="H53" s="11" t="str">
        <f t="shared" si="0"/>
        <v/>
      </c>
      <c r="I53" s="13" t="str">
        <f t="shared" si="1"/>
        <v/>
      </c>
      <c r="J53" s="14" t="str">
        <f t="shared" si="2"/>
        <v/>
      </c>
    </row>
    <row r="54" customHeight="1" spans="1:10">
      <c r="A54" s="8"/>
      <c r="B54" s="9"/>
      <c r="C54" s="9"/>
      <c r="D54" s="10"/>
      <c r="E54" s="10"/>
      <c r="F54" s="12" t="str">
        <f t="array" ref="F54">IF($B54="","",IFERROR(INDEX(Accounts!$B$2:$B$100,MATCH($B54,Accounts!$A$2:$A$100,0)),""))</f>
        <v/>
      </c>
      <c r="G54" s="12" t="str">
        <f t="array" ref="G54">IF($B54="","",IFERROR(INDEX(Accounts!$C$2:$C$100,MATCH($B54,Accounts!$A$2:$A$100,0)),""))</f>
        <v/>
      </c>
      <c r="H54" s="12" t="str">
        <f t="shared" si="0"/>
        <v/>
      </c>
      <c r="I54" s="15" t="str">
        <f t="shared" si="1"/>
        <v/>
      </c>
      <c r="J54" s="16" t="str">
        <f t="shared" si="2"/>
        <v/>
      </c>
    </row>
    <row r="55" customHeight="1" spans="1:10">
      <c r="A55" s="8"/>
      <c r="B55" s="9"/>
      <c r="C55" s="9"/>
      <c r="D55" s="10"/>
      <c r="E55" s="10"/>
      <c r="F55" s="12" t="str">
        <f t="array" ref="F55">IF($B55="","",IFERROR(INDEX(Accounts!$B$2:$B$100,MATCH($B55,Accounts!$A$2:$A$100,0)),""))</f>
        <v/>
      </c>
      <c r="G55" s="12" t="str">
        <f t="array" ref="G55">IF($B55="","",IFERROR(INDEX(Accounts!$C$2:$C$100,MATCH($B55,Accounts!$A$2:$A$100,0)),""))</f>
        <v/>
      </c>
      <c r="H55" s="12" t="str">
        <f t="shared" si="0"/>
        <v/>
      </c>
      <c r="I55" s="15" t="str">
        <f t="shared" si="1"/>
        <v/>
      </c>
      <c r="J55" s="16" t="str">
        <f t="shared" si="2"/>
        <v/>
      </c>
    </row>
    <row r="56" customHeight="1" spans="1:10">
      <c r="A56" s="8"/>
      <c r="B56" s="9"/>
      <c r="C56" s="9"/>
      <c r="D56" s="10"/>
      <c r="E56" s="10"/>
      <c r="F56" s="12" t="str">
        <f t="array" ref="F56">IF($B56="","",IFERROR(INDEX(Accounts!$B$2:$B$100,MATCH($B56,Accounts!$A$2:$A$100,0)),""))</f>
        <v/>
      </c>
      <c r="G56" s="12" t="str">
        <f t="array" ref="G56">IF($B56="","",IFERROR(INDEX(Accounts!$C$2:$C$100,MATCH($B56,Accounts!$A$2:$A$100,0)),""))</f>
        <v/>
      </c>
      <c r="H56" s="12" t="str">
        <f t="shared" si="0"/>
        <v/>
      </c>
      <c r="I56" s="15" t="str">
        <f t="shared" si="1"/>
        <v/>
      </c>
      <c r="J56" s="16" t="str">
        <f t="shared" si="2"/>
        <v/>
      </c>
    </row>
    <row r="57" customHeight="1" spans="1:10">
      <c r="A57" s="8"/>
      <c r="B57" s="9"/>
      <c r="C57" s="9"/>
      <c r="D57" s="10"/>
      <c r="E57" s="10"/>
      <c r="F57" s="12" t="str">
        <f t="array" ref="F57">IF($B57="","",IFERROR(INDEX(Accounts!$B$2:$B$100,MATCH($B57,Accounts!$A$2:$A$100,0)),""))</f>
        <v/>
      </c>
      <c r="G57" s="12" t="str">
        <f t="array" ref="G57">IF($B57="","",IFERROR(INDEX(Accounts!$C$2:$C$100,MATCH($B57,Accounts!$A$2:$A$100,0)),""))</f>
        <v/>
      </c>
      <c r="H57" s="12" t="str">
        <f t="shared" si="0"/>
        <v/>
      </c>
      <c r="I57" s="15" t="str">
        <f t="shared" si="1"/>
        <v/>
      </c>
      <c r="J57" s="16" t="str">
        <f t="shared" si="2"/>
        <v/>
      </c>
    </row>
    <row r="58" customHeight="1" spans="1:10">
      <c r="A58" s="8"/>
      <c r="B58" s="9"/>
      <c r="C58" s="9"/>
      <c r="D58" s="10"/>
      <c r="E58" s="10"/>
      <c r="F58" s="12" t="str">
        <f t="array" ref="F58">IF($B58="","",IFERROR(INDEX(Accounts!$B$2:$B$100,MATCH($B58,Accounts!$A$2:$A$100,0)),""))</f>
        <v/>
      </c>
      <c r="G58" s="12" t="str">
        <f t="array" ref="G58">IF($B58="","",IFERROR(INDEX(Accounts!$C$2:$C$100,MATCH($B58,Accounts!$A$2:$A$100,0)),""))</f>
        <v/>
      </c>
      <c r="H58" s="12" t="str">
        <f t="shared" si="0"/>
        <v/>
      </c>
      <c r="I58" s="15" t="str">
        <f t="shared" si="1"/>
        <v/>
      </c>
      <c r="J58" s="16" t="str">
        <f t="shared" si="2"/>
        <v/>
      </c>
    </row>
    <row r="59" customHeight="1" spans="1:10">
      <c r="A59" s="8"/>
      <c r="B59" s="9"/>
      <c r="C59" s="9"/>
      <c r="D59" s="10"/>
      <c r="E59" s="10"/>
      <c r="F59" s="12" t="str">
        <f t="array" ref="F59">IF($B59="","",IFERROR(INDEX(Accounts!$B$2:$B$100,MATCH($B59,Accounts!$A$2:$A$100,0)),""))</f>
        <v/>
      </c>
      <c r="G59" s="12" t="str">
        <f t="array" ref="G59">IF($B59="","",IFERROR(INDEX(Accounts!$C$2:$C$100,MATCH($B59,Accounts!$A$2:$A$100,0)),""))</f>
        <v/>
      </c>
      <c r="H59" s="12" t="str">
        <f t="shared" si="0"/>
        <v/>
      </c>
      <c r="I59" s="15" t="str">
        <f t="shared" si="1"/>
        <v/>
      </c>
      <c r="J59" s="16" t="str">
        <f t="shared" si="2"/>
        <v/>
      </c>
    </row>
    <row r="60" customHeight="1" spans="1:10">
      <c r="A60" s="8"/>
      <c r="B60" s="9"/>
      <c r="C60" s="9"/>
      <c r="D60" s="10"/>
      <c r="E60" s="10"/>
      <c r="F60" s="12" t="str">
        <f t="array" ref="F60">IF($B60="","",IFERROR(INDEX(Accounts!$B$2:$B$100,MATCH($B60,Accounts!$A$2:$A$100,0)),""))</f>
        <v/>
      </c>
      <c r="G60" s="12" t="str">
        <f t="array" ref="G60">IF($B60="","",IFERROR(INDEX(Accounts!$C$2:$C$100,MATCH($B60,Accounts!$A$2:$A$100,0)),""))</f>
        <v/>
      </c>
      <c r="H60" s="12" t="str">
        <f t="shared" si="0"/>
        <v/>
      </c>
      <c r="I60" s="15" t="str">
        <f t="shared" si="1"/>
        <v/>
      </c>
      <c r="J60" s="16" t="str">
        <f t="shared" si="2"/>
        <v/>
      </c>
    </row>
    <row r="61" customHeight="1" spans="1:10">
      <c r="A61" s="8"/>
      <c r="B61" s="9"/>
      <c r="C61" s="9"/>
      <c r="D61" s="10"/>
      <c r="E61" s="10"/>
      <c r="F61" s="12" t="str">
        <f t="array" ref="F61">IF($B61="","",IFERROR(INDEX(Accounts!$B$2:$B$100,MATCH($B61,Accounts!$A$2:$A$100,0)),""))</f>
        <v/>
      </c>
      <c r="G61" s="12" t="str">
        <f t="array" ref="G61">IF($B61="","",IFERROR(INDEX(Accounts!$C$2:$C$100,MATCH($B61,Accounts!$A$2:$A$100,0)),""))</f>
        <v/>
      </c>
      <c r="H61" s="12" t="str">
        <f t="shared" si="0"/>
        <v/>
      </c>
      <c r="I61" s="15" t="str">
        <f t="shared" si="1"/>
        <v/>
      </c>
      <c r="J61" s="16" t="str">
        <f t="shared" si="2"/>
        <v/>
      </c>
    </row>
    <row r="62" customHeight="1" spans="1:10">
      <c r="A62" s="8"/>
      <c r="B62" s="9"/>
      <c r="C62" s="9"/>
      <c r="D62" s="10"/>
      <c r="E62" s="10"/>
      <c r="F62" s="12" t="str">
        <f t="array" ref="F62">IF($B62="","",IFERROR(INDEX(Accounts!$B$2:$B$100,MATCH($B62,Accounts!$A$2:$A$100,0)),""))</f>
        <v/>
      </c>
      <c r="G62" s="12" t="str">
        <f t="array" ref="G62">IF($B62="","",IFERROR(INDEX(Accounts!$C$2:$C$100,MATCH($B62,Accounts!$A$2:$A$100,0)),""))</f>
        <v/>
      </c>
      <c r="H62" s="12" t="str">
        <f t="shared" si="0"/>
        <v/>
      </c>
      <c r="I62" s="15" t="str">
        <f t="shared" si="1"/>
        <v/>
      </c>
      <c r="J62" s="16" t="str">
        <f t="shared" si="2"/>
        <v/>
      </c>
    </row>
    <row r="63" customHeight="1" spans="1:10">
      <c r="A63" s="8"/>
      <c r="B63" s="9"/>
      <c r="C63" s="9"/>
      <c r="D63" s="10"/>
      <c r="E63" s="10"/>
      <c r="F63" s="12" t="str">
        <f t="array" ref="F63">IF($B63="","",IFERROR(INDEX(Accounts!$B$2:$B$100,MATCH($B63,Accounts!$A$2:$A$100,0)),""))</f>
        <v/>
      </c>
      <c r="G63" s="12" t="str">
        <f t="array" ref="G63">IF($B63="","",IFERROR(INDEX(Accounts!$C$2:$C$100,MATCH($B63,Accounts!$A$2:$A$100,0)),""))</f>
        <v/>
      </c>
      <c r="H63" s="12" t="str">
        <f t="shared" si="0"/>
        <v/>
      </c>
      <c r="I63" s="15" t="str">
        <f t="shared" si="1"/>
        <v/>
      </c>
      <c r="J63" s="16" t="str">
        <f t="shared" si="2"/>
        <v/>
      </c>
    </row>
    <row r="64" customHeight="1" spans="1:10">
      <c r="A64" s="8"/>
      <c r="B64" s="9"/>
      <c r="C64" s="9"/>
      <c r="D64" s="10"/>
      <c r="E64" s="10"/>
      <c r="F64" s="12" t="str">
        <f t="array" ref="F64">IF($B64="","",IFERROR(INDEX(Accounts!$B$2:$B$100,MATCH($B64,Accounts!$A$2:$A$100,0)),""))</f>
        <v/>
      </c>
      <c r="G64" s="12" t="str">
        <f t="array" ref="G64">IF($B64="","",IFERROR(INDEX(Accounts!$C$2:$C$100,MATCH($B64,Accounts!$A$2:$A$100,0)),""))</f>
        <v/>
      </c>
      <c r="H64" s="12" t="str">
        <f t="shared" si="0"/>
        <v/>
      </c>
      <c r="I64" s="15" t="str">
        <f t="shared" si="1"/>
        <v/>
      </c>
      <c r="J64" s="16" t="str">
        <f t="shared" si="2"/>
        <v/>
      </c>
    </row>
    <row r="65" customHeight="1" spans="1:10">
      <c r="A65" s="8"/>
      <c r="B65" s="9"/>
      <c r="C65" s="9"/>
      <c r="D65" s="10"/>
      <c r="E65" s="10"/>
      <c r="F65" s="12" t="str">
        <f t="array" ref="F65">IF($B65="","",IFERROR(INDEX(Accounts!$B$2:$B$100,MATCH($B65,Accounts!$A$2:$A$100,0)),""))</f>
        <v/>
      </c>
      <c r="G65" s="12" t="str">
        <f t="array" ref="G65">IF($B65="","",IFERROR(INDEX(Accounts!$C$2:$C$100,MATCH($B65,Accounts!$A$2:$A$100,0)),""))</f>
        <v/>
      </c>
      <c r="H65" s="12" t="str">
        <f t="shared" si="0"/>
        <v/>
      </c>
      <c r="I65" s="15" t="str">
        <f t="shared" si="1"/>
        <v/>
      </c>
      <c r="J65" s="16" t="str">
        <f t="shared" si="2"/>
        <v/>
      </c>
    </row>
    <row r="66" customHeight="1" spans="1:10">
      <c r="A66" s="8"/>
      <c r="B66" s="9"/>
      <c r="C66" s="9"/>
      <c r="D66" s="10"/>
      <c r="E66" s="10"/>
      <c r="F66" s="12" t="str">
        <f t="array" ref="F66">IF($B66="","",IFERROR(INDEX(Accounts!$B$2:$B$100,MATCH($B66,Accounts!$A$2:$A$100,0)),""))</f>
        <v/>
      </c>
      <c r="G66" s="12" t="str">
        <f t="array" ref="G66">IF($B66="","",IFERROR(INDEX(Accounts!$C$2:$C$100,MATCH($B66,Accounts!$A$2:$A$100,0)),""))</f>
        <v/>
      </c>
      <c r="H66" s="12" t="str">
        <f t="shared" si="0"/>
        <v/>
      </c>
      <c r="I66" s="15" t="str">
        <f t="shared" si="1"/>
        <v/>
      </c>
      <c r="J66" s="16" t="str">
        <f t="shared" si="2"/>
        <v/>
      </c>
    </row>
    <row r="67" customHeight="1" spans="1:10">
      <c r="A67" s="8"/>
      <c r="B67" s="9"/>
      <c r="C67" s="9"/>
      <c r="D67" s="10"/>
      <c r="E67" s="10"/>
      <c r="F67" s="12" t="str">
        <f t="array" ref="F67">IF($B67="","",IFERROR(INDEX(Accounts!$B$2:$B$100,MATCH($B67,Accounts!$A$2:$A$100,0)),""))</f>
        <v/>
      </c>
      <c r="G67" s="12" t="str">
        <f t="array" ref="G67">IF($B67="","",IFERROR(INDEX(Accounts!$C$2:$C$100,MATCH($B67,Accounts!$A$2:$A$100,0)),""))</f>
        <v/>
      </c>
      <c r="H67" s="12" t="str">
        <f t="shared" si="0"/>
        <v/>
      </c>
      <c r="I67" s="15" t="str">
        <f t="shared" si="1"/>
        <v/>
      </c>
      <c r="J67" s="16" t="str">
        <f t="shared" si="2"/>
        <v/>
      </c>
    </row>
    <row r="68" customHeight="1" spans="1:10">
      <c r="A68" s="8"/>
      <c r="B68" s="9"/>
      <c r="C68" s="9"/>
      <c r="D68" s="10"/>
      <c r="E68" s="10"/>
      <c r="F68" s="12" t="str">
        <f t="array" ref="F68">IF($B68="","",IFERROR(INDEX(Accounts!$B$2:$B$100,MATCH($B68,Accounts!$A$2:$A$100,0)),""))</f>
        <v/>
      </c>
      <c r="G68" s="12" t="str">
        <f t="array" ref="G68">IF($B68="","",IFERROR(INDEX(Accounts!$C$2:$C$100,MATCH($B68,Accounts!$A$2:$A$100,0)),""))</f>
        <v/>
      </c>
      <c r="H68" s="12" t="str">
        <f t="shared" si="0"/>
        <v/>
      </c>
      <c r="I68" s="15" t="str">
        <f t="shared" si="1"/>
        <v/>
      </c>
      <c r="J68" s="16" t="str">
        <f t="shared" si="2"/>
        <v/>
      </c>
    </row>
    <row r="69" customHeight="1" spans="1:10">
      <c r="A69" s="8"/>
      <c r="B69" s="9"/>
      <c r="C69" s="9"/>
      <c r="D69" s="10"/>
      <c r="E69" s="10"/>
      <c r="F69" s="12" t="str">
        <f t="array" ref="F69">IF($B69="","",IFERROR(INDEX(Accounts!$B$2:$B$100,MATCH($B69,Accounts!$A$2:$A$100,0)),""))</f>
        <v/>
      </c>
      <c r="G69" s="12" t="str">
        <f t="array" ref="G69">IF($B69="","",IFERROR(INDEX(Accounts!$C$2:$C$100,MATCH($B69,Accounts!$A$2:$A$100,0)),""))</f>
        <v/>
      </c>
      <c r="H69" s="12" t="str">
        <f t="shared" si="0"/>
        <v/>
      </c>
      <c r="I69" s="15" t="str">
        <f t="shared" si="1"/>
        <v/>
      </c>
      <c r="J69" s="16" t="str">
        <f t="shared" si="2"/>
        <v/>
      </c>
    </row>
    <row r="70" customHeight="1" spans="1:10">
      <c r="A70" s="8"/>
      <c r="B70" s="9"/>
      <c r="C70" s="9"/>
      <c r="D70" s="10"/>
      <c r="E70" s="10"/>
      <c r="F70" s="12" t="str">
        <f t="array" ref="F70">IF($B70="","",IFERROR(INDEX(Accounts!$B$2:$B$100,MATCH($B70,Accounts!$A$2:$A$100,0)),""))</f>
        <v/>
      </c>
      <c r="G70" s="12" t="str">
        <f t="array" ref="G70">IF($B70="","",IFERROR(INDEX(Accounts!$C$2:$C$100,MATCH($B70,Accounts!$A$2:$A$100,0)),""))</f>
        <v/>
      </c>
      <c r="H70" s="12" t="str">
        <f t="shared" si="0"/>
        <v/>
      </c>
      <c r="I70" s="15" t="str">
        <f t="shared" si="1"/>
        <v/>
      </c>
      <c r="J70" s="16" t="str">
        <f t="shared" si="2"/>
        <v/>
      </c>
    </row>
    <row r="71" customHeight="1" spans="1:10">
      <c r="A71" s="8"/>
      <c r="B71" s="9"/>
      <c r="C71" s="9"/>
      <c r="D71" s="10"/>
      <c r="E71" s="10"/>
      <c r="F71" s="12" t="str">
        <f t="array" ref="F71">IF($B71="","",IFERROR(INDEX(Accounts!$B$2:$B$100,MATCH($B71,Accounts!$A$2:$A$100,0)),""))</f>
        <v/>
      </c>
      <c r="G71" s="12" t="str">
        <f t="array" ref="G71">IF($B71="","",IFERROR(INDEX(Accounts!$C$2:$C$100,MATCH($B71,Accounts!$A$2:$A$100,0)),""))</f>
        <v/>
      </c>
      <c r="H71" s="12" t="str">
        <f t="shared" si="0"/>
        <v/>
      </c>
      <c r="I71" s="15" t="str">
        <f t="shared" si="1"/>
        <v/>
      </c>
      <c r="J71" s="16" t="str">
        <f t="shared" si="2"/>
        <v/>
      </c>
    </row>
    <row r="72" customHeight="1" spans="1:10">
      <c r="A72" s="8"/>
      <c r="B72" s="9"/>
      <c r="C72" s="9"/>
      <c r="D72" s="10"/>
      <c r="E72" s="10"/>
      <c r="F72" s="12" t="str">
        <f t="array" ref="F72">IF($B72="","",IFERROR(INDEX(Accounts!$B$2:$B$100,MATCH($B72,Accounts!$A$2:$A$100,0)),""))</f>
        <v/>
      </c>
      <c r="G72" s="12" t="str">
        <f t="array" ref="G72">IF($B72="","",IFERROR(INDEX(Accounts!$C$2:$C$100,MATCH($B72,Accounts!$A$2:$A$100,0)),""))</f>
        <v/>
      </c>
      <c r="H72" s="12" t="str">
        <f t="shared" si="0"/>
        <v/>
      </c>
      <c r="I72" s="15" t="str">
        <f t="shared" si="1"/>
        <v/>
      </c>
      <c r="J72" s="16" t="str">
        <f t="shared" si="2"/>
        <v/>
      </c>
    </row>
    <row r="73" customHeight="1" spans="1:10">
      <c r="A73" s="8"/>
      <c r="B73" s="9"/>
      <c r="C73" s="9"/>
      <c r="D73" s="10"/>
      <c r="E73" s="10"/>
      <c r="F73" s="12" t="str">
        <f t="array" ref="F73">IF($B73="","",IFERROR(INDEX(Accounts!$B$2:$B$100,MATCH($B73,Accounts!$A$2:$A$100,0)),""))</f>
        <v/>
      </c>
      <c r="G73" s="12" t="str">
        <f t="array" ref="G73">IF($B73="","",IFERROR(INDEX(Accounts!$C$2:$C$100,MATCH($B73,Accounts!$A$2:$A$100,0)),""))</f>
        <v/>
      </c>
      <c r="H73" s="12" t="str">
        <f t="shared" si="0"/>
        <v/>
      </c>
      <c r="I73" s="15" t="str">
        <f t="shared" si="1"/>
        <v/>
      </c>
      <c r="J73" s="16" t="str">
        <f t="shared" si="2"/>
        <v/>
      </c>
    </row>
    <row r="74" customHeight="1" spans="1:10">
      <c r="A74" s="8"/>
      <c r="B74" s="9"/>
      <c r="C74" s="9"/>
      <c r="D74" s="10"/>
      <c r="E74" s="10"/>
      <c r="F74" s="12" t="str">
        <f t="array" ref="F74">IF($B74="","",IFERROR(INDEX(Accounts!$B$2:$B$100,MATCH($B74,Accounts!$A$2:$A$100,0)),""))</f>
        <v/>
      </c>
      <c r="G74" s="12" t="str">
        <f t="array" ref="G74">IF($B74="","",IFERROR(INDEX(Accounts!$C$2:$C$100,MATCH($B74,Accounts!$A$2:$A$100,0)),""))</f>
        <v/>
      </c>
      <c r="H74" s="12" t="str">
        <f t="shared" si="0"/>
        <v/>
      </c>
      <c r="I74" s="15" t="str">
        <f t="shared" si="1"/>
        <v/>
      </c>
      <c r="J74" s="16" t="str">
        <f t="shared" si="2"/>
        <v/>
      </c>
    </row>
    <row r="75" customHeight="1" spans="1:10">
      <c r="A75" s="8"/>
      <c r="B75" s="9"/>
      <c r="C75" s="9"/>
      <c r="D75" s="10"/>
      <c r="E75" s="10"/>
      <c r="F75" s="12" t="str">
        <f t="array" ref="F75">IF($B75="","",IFERROR(INDEX(Accounts!$B$2:$B$100,MATCH($B75,Accounts!$A$2:$A$100,0)),""))</f>
        <v/>
      </c>
      <c r="G75" s="12" t="str">
        <f t="array" ref="G75">IF($B75="","",IFERROR(INDEX(Accounts!$C$2:$C$100,MATCH($B75,Accounts!$A$2:$A$100,0)),""))</f>
        <v/>
      </c>
      <c r="H75" s="12" t="str">
        <f t="shared" si="0"/>
        <v/>
      </c>
      <c r="I75" s="15" t="str">
        <f t="shared" si="1"/>
        <v/>
      </c>
      <c r="J75" s="16" t="str">
        <f t="shared" si="2"/>
        <v/>
      </c>
    </row>
    <row r="76" customHeight="1" spans="1:10">
      <c r="A76" s="8"/>
      <c r="B76" s="9"/>
      <c r="C76" s="9"/>
      <c r="D76" s="10"/>
      <c r="E76" s="10"/>
      <c r="F76" s="12" t="str">
        <f t="array" ref="F76">IF($B76="","",IFERROR(INDEX(Accounts!$B$2:$B$100,MATCH($B76,Accounts!$A$2:$A$100,0)),""))</f>
        <v/>
      </c>
      <c r="G76" s="12" t="str">
        <f t="array" ref="G76">IF($B76="","",IFERROR(INDEX(Accounts!$C$2:$C$100,MATCH($B76,Accounts!$A$2:$A$100,0)),""))</f>
        <v/>
      </c>
      <c r="H76" s="12" t="str">
        <f t="shared" si="0"/>
        <v/>
      </c>
      <c r="I76" s="15" t="str">
        <f t="shared" si="1"/>
        <v/>
      </c>
      <c r="J76" s="16" t="str">
        <f t="shared" si="2"/>
        <v/>
      </c>
    </row>
    <row r="77" customHeight="1" spans="1:10">
      <c r="A77" s="8"/>
      <c r="B77" s="9"/>
      <c r="C77" s="9"/>
      <c r="D77" s="10"/>
      <c r="E77" s="10"/>
      <c r="F77" s="12" t="str">
        <f t="array" ref="F77">IF($B77="","",IFERROR(INDEX(Accounts!$B$2:$B$100,MATCH($B77,Accounts!$A$2:$A$100,0)),""))</f>
        <v/>
      </c>
      <c r="G77" s="12" t="str">
        <f t="array" ref="G77">IF($B77="","",IFERROR(INDEX(Accounts!$C$2:$C$100,MATCH($B77,Accounts!$A$2:$A$100,0)),""))</f>
        <v/>
      </c>
      <c r="H77" s="12" t="str">
        <f t="shared" si="0"/>
        <v/>
      </c>
      <c r="I77" s="15" t="str">
        <f t="shared" si="1"/>
        <v/>
      </c>
      <c r="J77" s="16" t="str">
        <f t="shared" si="2"/>
        <v/>
      </c>
    </row>
    <row r="78" customHeight="1" spans="1:10">
      <c r="A78" s="8"/>
      <c r="B78" s="9"/>
      <c r="C78" s="9"/>
      <c r="D78" s="10"/>
      <c r="E78" s="10"/>
      <c r="F78" s="12" t="str">
        <f t="array" ref="F78">IF($B78="","",IFERROR(INDEX(Accounts!$B$2:$B$100,MATCH($B78,Accounts!$A$2:$A$100,0)),""))</f>
        <v/>
      </c>
      <c r="G78" s="12" t="str">
        <f t="array" ref="G78">IF($B78="","",IFERROR(INDEX(Accounts!$C$2:$C$100,MATCH($B78,Accounts!$A$2:$A$100,0)),""))</f>
        <v/>
      </c>
      <c r="H78" s="12" t="str">
        <f t="shared" si="0"/>
        <v/>
      </c>
      <c r="I78" s="15" t="str">
        <f t="shared" si="1"/>
        <v/>
      </c>
      <c r="J78" s="16" t="str">
        <f t="shared" si="2"/>
        <v/>
      </c>
    </row>
    <row r="79" customHeight="1" spans="1:10">
      <c r="A79" s="8"/>
      <c r="B79" s="9"/>
      <c r="C79" s="9"/>
      <c r="D79" s="10"/>
      <c r="E79" s="10"/>
      <c r="F79" s="12" t="str">
        <f t="array" ref="F79">IF($B79="","",IFERROR(INDEX(Accounts!$B$2:$B$100,MATCH($B79,Accounts!$A$2:$A$100,0)),""))</f>
        <v/>
      </c>
      <c r="G79" s="12" t="str">
        <f t="array" ref="G79">IF($B79="","",IFERROR(INDEX(Accounts!$C$2:$C$100,MATCH($B79,Accounts!$A$2:$A$100,0)),""))</f>
        <v/>
      </c>
      <c r="H79" s="12" t="str">
        <f t="shared" si="0"/>
        <v/>
      </c>
      <c r="I79" s="15" t="str">
        <f t="shared" si="1"/>
        <v/>
      </c>
      <c r="J79" s="16" t="str">
        <f t="shared" si="2"/>
        <v/>
      </c>
    </row>
    <row r="80" customHeight="1" spans="1:10">
      <c r="A80" s="8"/>
      <c r="B80" s="9"/>
      <c r="C80" s="9"/>
      <c r="D80" s="10"/>
      <c r="E80" s="10"/>
      <c r="F80" s="12" t="str">
        <f t="array" ref="F80">IF($B80="","",IFERROR(INDEX(Accounts!$B$2:$B$100,MATCH($B80,Accounts!$A$2:$A$100,0)),""))</f>
        <v/>
      </c>
      <c r="G80" s="12" t="str">
        <f t="array" ref="G80">IF($B80="","",IFERROR(INDEX(Accounts!$C$2:$C$100,MATCH($B80,Accounts!$A$2:$A$100,0)),""))</f>
        <v/>
      </c>
      <c r="H80" s="12" t="str">
        <f t="shared" si="0"/>
        <v/>
      </c>
      <c r="I80" s="15" t="str">
        <f t="shared" si="1"/>
        <v/>
      </c>
      <c r="J80" s="16" t="str">
        <f t="shared" si="2"/>
        <v/>
      </c>
    </row>
    <row r="81" customHeight="1" spans="1:10">
      <c r="A81" s="8"/>
      <c r="B81" s="9"/>
      <c r="C81" s="9"/>
      <c r="D81" s="10"/>
      <c r="E81" s="10"/>
      <c r="F81" s="12" t="str">
        <f t="array" ref="F81">IF($B81="","",IFERROR(INDEX(Accounts!$B$2:$B$100,MATCH($B81,Accounts!$A$2:$A$100,0)),""))</f>
        <v/>
      </c>
      <c r="G81" s="12" t="str">
        <f t="array" ref="G81">IF($B81="","",IFERROR(INDEX(Accounts!$C$2:$C$100,MATCH($B81,Accounts!$A$2:$A$100,0)),""))</f>
        <v/>
      </c>
      <c r="H81" s="12" t="str">
        <f t="shared" si="0"/>
        <v/>
      </c>
      <c r="I81" s="15" t="str">
        <f t="shared" si="1"/>
        <v/>
      </c>
      <c r="J81" s="16" t="str">
        <f t="shared" si="2"/>
        <v/>
      </c>
    </row>
    <row r="82" customHeight="1" spans="1:10">
      <c r="A82" s="8"/>
      <c r="B82" s="9"/>
      <c r="C82" s="9"/>
      <c r="D82" s="10"/>
      <c r="E82" s="10"/>
      <c r="F82" s="12" t="str">
        <f t="array" ref="F82">IF($B82="","",IFERROR(INDEX(Accounts!$B$2:$B$100,MATCH($B82,Accounts!$A$2:$A$100,0)),""))</f>
        <v/>
      </c>
      <c r="G82" s="12" t="str">
        <f t="array" ref="G82">IF($B82="","",IFERROR(INDEX(Accounts!$C$2:$C$100,MATCH($B82,Accounts!$A$2:$A$100,0)),""))</f>
        <v/>
      </c>
      <c r="H82" s="12" t="str">
        <f t="shared" si="0"/>
        <v/>
      </c>
      <c r="I82" s="15" t="str">
        <f t="shared" si="1"/>
        <v/>
      </c>
      <c r="J82" s="16" t="str">
        <f t="shared" si="2"/>
        <v/>
      </c>
    </row>
    <row r="83" customHeight="1" spans="1:10">
      <c r="A83" s="8"/>
      <c r="B83" s="9"/>
      <c r="C83" s="9"/>
      <c r="D83" s="10"/>
      <c r="E83" s="10"/>
      <c r="F83" s="12" t="str">
        <f t="array" ref="F83">IF($B83="","",IFERROR(INDEX(Accounts!$B$2:$B$100,MATCH($B83,Accounts!$A$2:$A$100,0)),""))</f>
        <v/>
      </c>
      <c r="G83" s="12" t="str">
        <f t="array" ref="G83">IF($B83="","",IFERROR(INDEX(Accounts!$C$2:$C$100,MATCH($B83,Accounts!$A$2:$A$100,0)),""))</f>
        <v/>
      </c>
      <c r="H83" s="12" t="str">
        <f t="shared" si="0"/>
        <v/>
      </c>
      <c r="I83" s="15" t="str">
        <f t="shared" si="1"/>
        <v/>
      </c>
      <c r="J83" s="16" t="str">
        <f t="shared" si="2"/>
        <v/>
      </c>
    </row>
    <row r="84" customHeight="1" spans="1:10">
      <c r="A84" s="8"/>
      <c r="B84" s="9"/>
      <c r="C84" s="9"/>
      <c r="D84" s="10"/>
      <c r="E84" s="10"/>
      <c r="F84" s="12" t="str">
        <f t="array" ref="F84">IF($B84="","",IFERROR(INDEX(Accounts!$B$2:$B$100,MATCH($B84,Accounts!$A$2:$A$100,0)),""))</f>
        <v/>
      </c>
      <c r="G84" s="12" t="str">
        <f t="array" ref="G84">IF($B84="","",IFERROR(INDEX(Accounts!$C$2:$C$100,MATCH($B84,Accounts!$A$2:$A$100,0)),""))</f>
        <v/>
      </c>
      <c r="H84" s="12" t="str">
        <f t="shared" si="0"/>
        <v/>
      </c>
      <c r="I84" s="15" t="str">
        <f t="shared" si="1"/>
        <v/>
      </c>
      <c r="J84" s="16" t="str">
        <f t="shared" si="2"/>
        <v/>
      </c>
    </row>
    <row r="85" customHeight="1" spans="1:10">
      <c r="A85" s="8"/>
      <c r="B85" s="9"/>
      <c r="C85" s="9"/>
      <c r="D85" s="10"/>
      <c r="E85" s="10"/>
      <c r="F85" s="12" t="str">
        <f t="array" ref="F85">IF($B85="","",IFERROR(INDEX(Accounts!$B$2:$B$100,MATCH($B85,Accounts!$A$2:$A$100,0)),""))</f>
        <v/>
      </c>
      <c r="G85" s="12" t="str">
        <f t="array" ref="G85">IF($B85="","",IFERROR(INDEX(Accounts!$C$2:$C$100,MATCH($B85,Accounts!$A$2:$A$100,0)),""))</f>
        <v/>
      </c>
      <c r="H85" s="12" t="str">
        <f t="shared" si="0"/>
        <v/>
      </c>
      <c r="I85" s="15" t="str">
        <f t="shared" si="1"/>
        <v/>
      </c>
      <c r="J85" s="16" t="str">
        <f t="shared" si="2"/>
        <v/>
      </c>
    </row>
    <row r="86" customHeight="1" spans="1:10">
      <c r="A86" s="8"/>
      <c r="B86" s="9"/>
      <c r="C86" s="9"/>
      <c r="D86" s="10"/>
      <c r="E86" s="10"/>
      <c r="F86" s="12" t="str">
        <f t="array" ref="F86">IF($B86="","",IFERROR(INDEX(Accounts!$B$2:$B$100,MATCH($B86,Accounts!$A$2:$A$100,0)),""))</f>
        <v/>
      </c>
      <c r="G86" s="12" t="str">
        <f t="array" ref="G86">IF($B86="","",IFERROR(INDEX(Accounts!$C$2:$C$100,MATCH($B86,Accounts!$A$2:$A$100,0)),""))</f>
        <v/>
      </c>
      <c r="H86" s="12" t="str">
        <f t="shared" si="0"/>
        <v/>
      </c>
      <c r="I86" s="15" t="str">
        <f t="shared" si="1"/>
        <v/>
      </c>
      <c r="J86" s="16" t="str">
        <f t="shared" si="2"/>
        <v/>
      </c>
    </row>
    <row r="87" customHeight="1" spans="1:10">
      <c r="A87" s="8"/>
      <c r="B87" s="9"/>
      <c r="C87" s="9"/>
      <c r="D87" s="10"/>
      <c r="E87" s="10"/>
      <c r="F87" s="12" t="str">
        <f t="array" ref="F87">IF($B87="","",IFERROR(INDEX(Accounts!$B$2:$B$100,MATCH($B87,Accounts!$A$2:$A$100,0)),""))</f>
        <v/>
      </c>
      <c r="G87" s="12" t="str">
        <f t="array" ref="G87">IF($B87="","",IFERROR(INDEX(Accounts!$C$2:$C$100,MATCH($B87,Accounts!$A$2:$A$100,0)),""))</f>
        <v/>
      </c>
      <c r="H87" s="12" t="str">
        <f t="shared" si="0"/>
        <v/>
      </c>
      <c r="I87" s="15" t="str">
        <f t="shared" si="1"/>
        <v/>
      </c>
      <c r="J87" s="16" t="str">
        <f t="shared" si="2"/>
        <v/>
      </c>
    </row>
    <row r="88" customHeight="1" spans="1:10">
      <c r="A88" s="8"/>
      <c r="B88" s="9"/>
      <c r="C88" s="9"/>
      <c r="D88" s="10"/>
      <c r="E88" s="10"/>
      <c r="F88" s="12" t="str">
        <f t="array" ref="F88">IF($B88="","",IFERROR(INDEX(Accounts!$B$2:$B$100,MATCH($B88,Accounts!$A$2:$A$100,0)),""))</f>
        <v/>
      </c>
      <c r="G88" s="12" t="str">
        <f t="array" ref="G88">IF($B88="","",IFERROR(INDEX(Accounts!$C$2:$C$100,MATCH($B88,Accounts!$A$2:$A$100,0)),""))</f>
        <v/>
      </c>
      <c r="H88" s="12" t="str">
        <f t="shared" si="0"/>
        <v/>
      </c>
      <c r="I88" s="15" t="str">
        <f t="shared" si="1"/>
        <v/>
      </c>
      <c r="J88" s="16" t="str">
        <f t="shared" si="2"/>
        <v/>
      </c>
    </row>
    <row r="89" customHeight="1" spans="1:10">
      <c r="A89" s="8"/>
      <c r="B89" s="9"/>
      <c r="C89" s="9"/>
      <c r="D89" s="10"/>
      <c r="E89" s="10"/>
      <c r="F89" s="12" t="str">
        <f t="array" ref="F89">IF($B89="","",IFERROR(INDEX(Accounts!$B$2:$B$100,MATCH($B89,Accounts!$A$2:$A$100,0)),""))</f>
        <v/>
      </c>
      <c r="G89" s="12" t="str">
        <f t="array" ref="G89">IF($B89="","",IFERROR(INDEX(Accounts!$C$2:$C$100,MATCH($B89,Accounts!$A$2:$A$100,0)),""))</f>
        <v/>
      </c>
      <c r="H89" s="12" t="str">
        <f t="shared" si="0"/>
        <v/>
      </c>
      <c r="I89" s="15" t="str">
        <f t="shared" si="1"/>
        <v/>
      </c>
      <c r="J89" s="16" t="str">
        <f t="shared" si="2"/>
        <v/>
      </c>
    </row>
    <row r="90" customHeight="1" spans="1:10">
      <c r="A90" s="8"/>
      <c r="B90" s="9"/>
      <c r="C90" s="9"/>
      <c r="D90" s="10"/>
      <c r="E90" s="10"/>
      <c r="F90" s="12" t="str">
        <f t="array" ref="F90">IF($B90="","",IFERROR(INDEX(Accounts!$B$2:$B$100,MATCH($B90,Accounts!$A$2:$A$100,0)),""))</f>
        <v/>
      </c>
      <c r="G90" s="12" t="str">
        <f t="array" ref="G90">IF($B90="","",IFERROR(INDEX(Accounts!$C$2:$C$100,MATCH($B90,Accounts!$A$2:$A$100,0)),""))</f>
        <v/>
      </c>
      <c r="H90" s="12" t="str">
        <f t="shared" si="0"/>
        <v/>
      </c>
      <c r="I90" s="15" t="str">
        <f t="shared" si="1"/>
        <v/>
      </c>
      <c r="J90" s="16" t="str">
        <f t="shared" si="2"/>
        <v/>
      </c>
    </row>
    <row r="91" customHeight="1" spans="1:10">
      <c r="A91" s="8"/>
      <c r="B91" s="9"/>
      <c r="C91" s="9"/>
      <c r="D91" s="10"/>
      <c r="E91" s="10"/>
      <c r="F91" s="12" t="str">
        <f t="array" ref="F91">IF($B91="","",IFERROR(INDEX(Accounts!$B$2:$B$100,MATCH($B91,Accounts!$A$2:$A$100,0)),""))</f>
        <v/>
      </c>
      <c r="G91" s="12" t="str">
        <f t="array" ref="G91">IF($B91="","",IFERROR(INDEX(Accounts!$C$2:$C$100,MATCH($B91,Accounts!$A$2:$A$100,0)),""))</f>
        <v/>
      </c>
      <c r="H91" s="12" t="str">
        <f t="shared" si="0"/>
        <v/>
      </c>
      <c r="I91" s="15" t="str">
        <f t="shared" si="1"/>
        <v/>
      </c>
      <c r="J91" s="16" t="str">
        <f t="shared" si="2"/>
        <v/>
      </c>
    </row>
    <row r="92" customHeight="1" spans="1:10">
      <c r="A92" s="8"/>
      <c r="B92" s="9"/>
      <c r="C92" s="9"/>
      <c r="D92" s="10"/>
      <c r="E92" s="10"/>
      <c r="F92" s="12" t="str">
        <f t="array" ref="F92">IF($B92="","",IFERROR(INDEX(Accounts!$B$2:$B$100,MATCH($B92,Accounts!$A$2:$A$100,0)),""))</f>
        <v/>
      </c>
      <c r="G92" s="12" t="str">
        <f t="array" ref="G92">IF($B92="","",IFERROR(INDEX(Accounts!$C$2:$C$100,MATCH($B92,Accounts!$A$2:$A$100,0)),""))</f>
        <v/>
      </c>
      <c r="H92" s="12" t="str">
        <f t="shared" si="0"/>
        <v/>
      </c>
      <c r="I92" s="15" t="str">
        <f t="shared" si="1"/>
        <v/>
      </c>
      <c r="J92" s="16" t="str">
        <f t="shared" si="2"/>
        <v/>
      </c>
    </row>
    <row r="93" customHeight="1" spans="1:10">
      <c r="A93" s="8"/>
      <c r="B93" s="9"/>
      <c r="C93" s="9"/>
      <c r="D93" s="10"/>
      <c r="E93" s="10"/>
      <c r="F93" s="12" t="str">
        <f t="array" ref="F93">IF($B93="","",IFERROR(INDEX(Accounts!$B$2:$B$100,MATCH($B93,Accounts!$A$2:$A$100,0)),""))</f>
        <v/>
      </c>
      <c r="G93" s="12" t="str">
        <f t="array" ref="G93">IF($B93="","",IFERROR(INDEX(Accounts!$C$2:$C$100,MATCH($B93,Accounts!$A$2:$A$100,0)),""))</f>
        <v/>
      </c>
      <c r="H93" s="12" t="str">
        <f t="shared" si="0"/>
        <v/>
      </c>
      <c r="I93" s="15" t="str">
        <f t="shared" si="1"/>
        <v/>
      </c>
      <c r="J93" s="16" t="str">
        <f t="shared" si="2"/>
        <v/>
      </c>
    </row>
    <row r="94" customHeight="1" spans="1:10">
      <c r="A94" s="8"/>
      <c r="B94" s="9"/>
      <c r="C94" s="9"/>
      <c r="D94" s="10"/>
      <c r="E94" s="10"/>
      <c r="F94" s="12" t="str">
        <f t="array" ref="F94">IF($B94="","",IFERROR(INDEX(Accounts!$B$2:$B$100,MATCH($B94,Accounts!$A$2:$A$100,0)),""))</f>
        <v/>
      </c>
      <c r="G94" s="12" t="str">
        <f t="array" ref="G94">IF($B94="","",IFERROR(INDEX(Accounts!$C$2:$C$100,MATCH($B94,Accounts!$A$2:$A$100,0)),""))</f>
        <v/>
      </c>
      <c r="H94" s="12" t="str">
        <f t="shared" si="0"/>
        <v/>
      </c>
      <c r="I94" s="15" t="str">
        <f t="shared" si="1"/>
        <v/>
      </c>
      <c r="J94" s="16" t="str">
        <f t="shared" si="2"/>
        <v/>
      </c>
    </row>
    <row r="95" customHeight="1" spans="1:10">
      <c r="A95" s="8"/>
      <c r="B95" s="9"/>
      <c r="C95" s="9"/>
      <c r="D95" s="10"/>
      <c r="E95" s="10"/>
      <c r="F95" s="12" t="str">
        <f t="array" ref="F95">IF($B95="","",IFERROR(INDEX(Accounts!$B$2:$B$100,MATCH($B95,Accounts!$A$2:$A$100,0)),""))</f>
        <v/>
      </c>
      <c r="G95" s="12" t="str">
        <f t="array" ref="G95">IF($B95="","",IFERROR(INDEX(Accounts!$C$2:$C$100,MATCH($B95,Accounts!$A$2:$A$100,0)),""))</f>
        <v/>
      </c>
      <c r="H95" s="12" t="str">
        <f t="shared" si="0"/>
        <v/>
      </c>
      <c r="I95" s="15" t="str">
        <f t="shared" si="1"/>
        <v/>
      </c>
      <c r="J95" s="16" t="str">
        <f t="shared" si="2"/>
        <v/>
      </c>
    </row>
    <row r="96" customHeight="1" spans="1:10">
      <c r="A96" s="8"/>
      <c r="B96" s="9"/>
      <c r="C96" s="9"/>
      <c r="D96" s="10"/>
      <c r="E96" s="10"/>
      <c r="F96" s="12" t="str">
        <f t="array" ref="F96">IF($B96="","",IFERROR(INDEX(Accounts!$B$2:$B$100,MATCH($B96,Accounts!$A$2:$A$100,0)),""))</f>
        <v/>
      </c>
      <c r="G96" s="12" t="str">
        <f t="array" ref="G96">IF($B96="","",IFERROR(INDEX(Accounts!$C$2:$C$100,MATCH($B96,Accounts!$A$2:$A$100,0)),""))</f>
        <v/>
      </c>
      <c r="H96" s="12" t="str">
        <f t="shared" si="0"/>
        <v/>
      </c>
      <c r="I96" s="15" t="str">
        <f t="shared" si="1"/>
        <v/>
      </c>
      <c r="J96" s="16" t="str">
        <f t="shared" si="2"/>
        <v/>
      </c>
    </row>
    <row r="97" customHeight="1" spans="1:10">
      <c r="A97" s="8"/>
      <c r="B97" s="9"/>
      <c r="C97" s="9"/>
      <c r="D97" s="10"/>
      <c r="E97" s="10"/>
      <c r="F97" s="12" t="str">
        <f t="array" ref="F97">IF($B97="","",IFERROR(INDEX(Accounts!$B$2:$B$100,MATCH($B97,Accounts!$A$2:$A$100,0)),""))</f>
        <v/>
      </c>
      <c r="G97" s="12" t="str">
        <f t="array" ref="G97">IF($B97="","",IFERROR(INDEX(Accounts!$C$2:$C$100,MATCH($B97,Accounts!$A$2:$A$100,0)),""))</f>
        <v/>
      </c>
      <c r="H97" s="12" t="str">
        <f t="shared" si="0"/>
        <v/>
      </c>
      <c r="I97" s="15" t="str">
        <f t="shared" si="1"/>
        <v/>
      </c>
      <c r="J97" s="16" t="str">
        <f t="shared" si="2"/>
        <v/>
      </c>
    </row>
    <row r="98" customHeight="1" spans="1:10">
      <c r="A98" s="8"/>
      <c r="B98" s="9"/>
      <c r="C98" s="9"/>
      <c r="D98" s="10"/>
      <c r="E98" s="10"/>
      <c r="F98" s="12" t="str">
        <f t="array" ref="F98">IF($B98="","",IFERROR(INDEX(Accounts!$B$2:$B$100,MATCH($B98,Accounts!$A$2:$A$100,0)),""))</f>
        <v/>
      </c>
      <c r="G98" s="12" t="str">
        <f t="array" ref="G98">IF($B98="","",IFERROR(INDEX(Accounts!$C$2:$C$100,MATCH($B98,Accounts!$A$2:$A$100,0)),""))</f>
        <v/>
      </c>
      <c r="H98" s="12" t="str">
        <f t="shared" si="0"/>
        <v/>
      </c>
      <c r="I98" s="15" t="str">
        <f t="shared" si="1"/>
        <v/>
      </c>
      <c r="J98" s="16" t="str">
        <f t="shared" si="2"/>
        <v/>
      </c>
    </row>
    <row r="99" customHeight="1" spans="1:10">
      <c r="A99" s="8"/>
      <c r="B99" s="9"/>
      <c r="C99" s="9"/>
      <c r="D99" s="10"/>
      <c r="E99" s="10"/>
      <c r="F99" s="12" t="str">
        <f t="array" ref="F99">IF($B99="","",IFERROR(INDEX(Accounts!$B$2:$B$100,MATCH($B99,Accounts!$A$2:$A$100,0)),""))</f>
        <v/>
      </c>
      <c r="G99" s="12" t="str">
        <f t="array" ref="G99">IF($B99="","",IFERROR(INDEX(Accounts!$C$2:$C$100,MATCH($B99,Accounts!$A$2:$A$100,0)),""))</f>
        <v/>
      </c>
      <c r="H99" s="12" t="str">
        <f t="shared" si="0"/>
        <v/>
      </c>
      <c r="I99" s="15" t="str">
        <f t="shared" si="1"/>
        <v/>
      </c>
      <c r="J99" s="16" t="str">
        <f t="shared" si="2"/>
        <v/>
      </c>
    </row>
    <row r="100" customHeight="1" spans="1:10">
      <c r="A100" s="8"/>
      <c r="B100" s="9"/>
      <c r="C100" s="9"/>
      <c r="D100" s="10"/>
      <c r="E100" s="10"/>
      <c r="F100" s="12" t="str">
        <f t="array" ref="F100">IF($B100="","",IFERROR(INDEX(Accounts!$B$2:$B$100,MATCH($B100,Accounts!$A$2:$A$100,0)),""))</f>
        <v/>
      </c>
      <c r="G100" s="12" t="str">
        <f t="array" ref="G100">IF($B100="","",IFERROR(INDEX(Accounts!$C$2:$C$100,MATCH($B100,Accounts!$A$2:$A$100,0)),""))</f>
        <v/>
      </c>
      <c r="H100" s="12" t="str">
        <f t="shared" si="0"/>
        <v/>
      </c>
      <c r="I100" s="15" t="str">
        <f t="shared" si="1"/>
        <v/>
      </c>
      <c r="J100" s="16" t="str">
        <f t="shared" si="2"/>
        <v/>
      </c>
    </row>
    <row r="101" customHeight="1" spans="1:10">
      <c r="A101" s="8"/>
      <c r="B101" s="9"/>
      <c r="C101" s="9"/>
      <c r="D101" s="10"/>
      <c r="E101" s="10"/>
      <c r="F101" s="12" t="str">
        <f t="array" ref="F101">IF($B101="","",IFERROR(INDEX(Accounts!$B$2:$B$100,MATCH($B101,Accounts!$A$2:$A$100,0)),""))</f>
        <v/>
      </c>
      <c r="G101" s="12" t="str">
        <f t="array" ref="G101">IF($B101="","",IFERROR(INDEX(Accounts!$C$2:$C$100,MATCH($B101,Accounts!$A$2:$A$100,0)),""))</f>
        <v/>
      </c>
      <c r="H101" s="12" t="str">
        <f t="shared" si="0"/>
        <v/>
      </c>
      <c r="I101" s="15" t="str">
        <f t="shared" si="1"/>
        <v/>
      </c>
      <c r="J101" s="16" t="str">
        <f t="shared" si="2"/>
        <v/>
      </c>
    </row>
    <row r="102" customHeight="1" spans="1:10">
      <c r="A102" s="8"/>
      <c r="B102" s="9"/>
      <c r="C102" s="9"/>
      <c r="D102" s="10"/>
      <c r="E102" s="10"/>
      <c r="F102" s="12" t="str">
        <f t="array" ref="F102">IF($B102="","",IFERROR(INDEX(Accounts!$B$2:$B$100,MATCH($B102,Accounts!$A$2:$A$100,0)),""))</f>
        <v/>
      </c>
      <c r="G102" s="12" t="str">
        <f t="array" ref="G102">IF($B102="","",IFERROR(INDEX(Accounts!$C$2:$C$100,MATCH($B102,Accounts!$A$2:$A$100,0)),""))</f>
        <v/>
      </c>
      <c r="H102" s="12" t="str">
        <f t="shared" si="0"/>
        <v/>
      </c>
      <c r="I102" s="15" t="str">
        <f t="shared" si="1"/>
        <v/>
      </c>
      <c r="J102" s="16" t="str">
        <f t="shared" si="2"/>
        <v/>
      </c>
    </row>
    <row r="103" customHeight="1" spans="1:10">
      <c r="A103" s="8"/>
      <c r="B103" s="9"/>
      <c r="C103" s="9"/>
      <c r="D103" s="10"/>
      <c r="E103" s="10"/>
      <c r="F103" s="12" t="str">
        <f t="array" ref="F103">IF($B103="","",IFERROR(INDEX(Accounts!$B$2:$B$100,MATCH($B103,Accounts!$A$2:$A$100,0)),""))</f>
        <v/>
      </c>
      <c r="G103" s="12" t="str">
        <f t="array" ref="G103">IF($B103="","",IFERROR(INDEX(Accounts!$C$2:$C$100,MATCH($B103,Accounts!$A$2:$A$100,0)),""))</f>
        <v/>
      </c>
      <c r="H103" s="12" t="str">
        <f t="shared" si="0"/>
        <v/>
      </c>
      <c r="I103" s="15" t="str">
        <f t="shared" si="1"/>
        <v/>
      </c>
      <c r="J103" s="16" t="str">
        <f t="shared" si="2"/>
        <v/>
      </c>
    </row>
    <row r="104" customHeight="1" spans="1:10">
      <c r="A104" s="8"/>
      <c r="B104" s="9"/>
      <c r="C104" s="9"/>
      <c r="D104" s="10"/>
      <c r="E104" s="10"/>
      <c r="F104" s="12" t="str">
        <f t="array" ref="F104">IF($B104="","",IFERROR(INDEX(Accounts!$B$2:$B$100,MATCH($B104,Accounts!$A$2:$A$100,0)),""))</f>
        <v/>
      </c>
      <c r="G104" s="12" t="str">
        <f t="array" ref="G104">IF($B104="","",IFERROR(INDEX(Accounts!$C$2:$C$100,MATCH($B104,Accounts!$A$2:$A$100,0)),""))</f>
        <v/>
      </c>
      <c r="H104" s="12" t="str">
        <f t="shared" si="0"/>
        <v/>
      </c>
      <c r="I104" s="15" t="str">
        <f t="shared" si="1"/>
        <v/>
      </c>
      <c r="J104" s="16" t="str">
        <f t="shared" si="2"/>
        <v/>
      </c>
    </row>
    <row r="105" customHeight="1" spans="1:10">
      <c r="A105" s="8"/>
      <c r="B105" s="9"/>
      <c r="C105" s="9"/>
      <c r="D105" s="10"/>
      <c r="E105" s="10"/>
      <c r="F105" s="12" t="str">
        <f t="array" ref="F105">IF($B105="","",IFERROR(INDEX(Accounts!$B$2:$B$100,MATCH($B105,Accounts!$A$2:$A$100,0)),""))</f>
        <v/>
      </c>
      <c r="G105" s="12" t="str">
        <f t="array" ref="G105">IF($B105="","",IFERROR(INDEX(Accounts!$C$2:$C$100,MATCH($B105,Accounts!$A$2:$A$100,0)),""))</f>
        <v/>
      </c>
      <c r="H105" s="12" t="str">
        <f t="shared" si="0"/>
        <v/>
      </c>
      <c r="I105" s="15" t="str">
        <f t="shared" si="1"/>
        <v/>
      </c>
      <c r="J105" s="16" t="str">
        <f t="shared" si="2"/>
        <v/>
      </c>
    </row>
    <row r="106" customHeight="1" spans="1:10">
      <c r="A106" s="8"/>
      <c r="B106" s="9"/>
      <c r="C106" s="9"/>
      <c r="D106" s="10"/>
      <c r="E106" s="10"/>
      <c r="F106" s="12" t="str">
        <f t="array" ref="F106">IF($B106="","",IFERROR(INDEX(Accounts!$B$2:$B$100,MATCH($B106,Accounts!$A$2:$A$100,0)),""))</f>
        <v/>
      </c>
      <c r="G106" s="12" t="str">
        <f t="array" ref="G106">IF($B106="","",IFERROR(INDEX(Accounts!$C$2:$C$100,MATCH($B106,Accounts!$A$2:$A$100,0)),""))</f>
        <v/>
      </c>
      <c r="H106" s="12" t="str">
        <f t="shared" si="0"/>
        <v/>
      </c>
      <c r="I106" s="15" t="str">
        <f t="shared" si="1"/>
        <v/>
      </c>
      <c r="J106" s="16" t="str">
        <f t="shared" si="2"/>
        <v/>
      </c>
    </row>
    <row r="107" customHeight="1" spans="1:10">
      <c r="A107" s="8"/>
      <c r="B107" s="9"/>
      <c r="C107" s="9"/>
      <c r="D107" s="10"/>
      <c r="E107" s="10"/>
      <c r="F107" s="12" t="str">
        <f t="array" ref="F107">IF($B107="","",IFERROR(INDEX(Accounts!$B$2:$B$100,MATCH($B107,Accounts!$A$2:$A$100,0)),""))</f>
        <v/>
      </c>
      <c r="G107" s="12" t="str">
        <f t="array" ref="G107">IF($B107="","",IFERROR(INDEX(Accounts!$C$2:$C$100,MATCH($B107,Accounts!$A$2:$A$100,0)),""))</f>
        <v/>
      </c>
      <c r="H107" s="12" t="str">
        <f t="shared" si="0"/>
        <v/>
      </c>
      <c r="I107" s="15" t="str">
        <f t="shared" si="1"/>
        <v/>
      </c>
      <c r="J107" s="16" t="str">
        <f t="shared" si="2"/>
        <v/>
      </c>
    </row>
    <row r="108" customHeight="1" spans="1:10">
      <c r="A108" s="8"/>
      <c r="B108" s="9"/>
      <c r="C108" s="9"/>
      <c r="D108" s="10"/>
      <c r="E108" s="10"/>
      <c r="F108" s="12" t="str">
        <f t="array" ref="F108">IF($B108="","",IFERROR(INDEX(Accounts!$B$2:$B$100,MATCH($B108,Accounts!$A$2:$A$100,0)),""))</f>
        <v/>
      </c>
      <c r="G108" s="12" t="str">
        <f t="array" ref="G108">IF($B108="","",IFERROR(INDEX(Accounts!$C$2:$C$100,MATCH($B108,Accounts!$A$2:$A$100,0)),""))</f>
        <v/>
      </c>
      <c r="H108" s="12" t="str">
        <f t="shared" si="0"/>
        <v/>
      </c>
      <c r="I108" s="15" t="str">
        <f t="shared" si="1"/>
        <v/>
      </c>
      <c r="J108" s="16" t="str">
        <f t="shared" si="2"/>
        <v/>
      </c>
    </row>
    <row r="109" customHeight="1" spans="1:10">
      <c r="A109" s="8"/>
      <c r="B109" s="9"/>
      <c r="C109" s="9"/>
      <c r="D109" s="10"/>
      <c r="E109" s="10"/>
      <c r="F109" s="12" t="str">
        <f t="array" ref="F109">IF($B109="","",IFERROR(INDEX(Accounts!$B$2:$B$100,MATCH($B109,Accounts!$A$2:$A$100,0)),""))</f>
        <v/>
      </c>
      <c r="G109" s="12" t="str">
        <f t="array" ref="G109">IF($B109="","",IFERROR(INDEX(Accounts!$C$2:$C$100,MATCH($B109,Accounts!$A$2:$A$100,0)),""))</f>
        <v/>
      </c>
      <c r="H109" s="12" t="str">
        <f t="shared" si="0"/>
        <v/>
      </c>
      <c r="I109" s="15" t="str">
        <f t="shared" si="1"/>
        <v/>
      </c>
      <c r="J109" s="16" t="str">
        <f t="shared" si="2"/>
        <v/>
      </c>
    </row>
    <row r="110" customHeight="1" spans="1:10">
      <c r="A110" s="8"/>
      <c r="B110" s="9"/>
      <c r="C110" s="9"/>
      <c r="D110" s="10"/>
      <c r="E110" s="10"/>
      <c r="F110" s="12" t="str">
        <f t="array" ref="F110">IF($B110="","",IFERROR(INDEX(Accounts!$B$2:$B$100,MATCH($B110,Accounts!$A$2:$A$100,0)),""))</f>
        <v/>
      </c>
      <c r="G110" s="12" t="str">
        <f t="array" ref="G110">IF($B110="","",IFERROR(INDEX(Accounts!$C$2:$C$100,MATCH($B110,Accounts!$A$2:$A$100,0)),""))</f>
        <v/>
      </c>
      <c r="H110" s="12" t="str">
        <f t="shared" si="0"/>
        <v/>
      </c>
      <c r="I110" s="15" t="str">
        <f t="shared" si="1"/>
        <v/>
      </c>
      <c r="J110" s="16" t="str">
        <f t="shared" si="2"/>
        <v/>
      </c>
    </row>
    <row r="111" customHeight="1" spans="1:10">
      <c r="A111" s="8"/>
      <c r="B111" s="9"/>
      <c r="C111" s="9"/>
      <c r="D111" s="10"/>
      <c r="E111" s="10"/>
      <c r="F111" s="12" t="str">
        <f t="array" ref="F111">IF($B111="","",IFERROR(INDEX(Accounts!$B$2:$B$100,MATCH($B111,Accounts!$A$2:$A$100,0)),""))</f>
        <v/>
      </c>
      <c r="G111" s="12" t="str">
        <f t="array" ref="G111">IF($B111="","",IFERROR(INDEX(Accounts!$C$2:$C$100,MATCH($B111,Accounts!$A$2:$A$100,0)),""))</f>
        <v/>
      </c>
      <c r="H111" s="12" t="str">
        <f t="shared" si="0"/>
        <v/>
      </c>
      <c r="I111" s="15" t="str">
        <f t="shared" si="1"/>
        <v/>
      </c>
      <c r="J111" s="16" t="str">
        <f t="shared" si="2"/>
        <v/>
      </c>
    </row>
    <row r="112" customHeight="1" spans="1:10">
      <c r="A112" s="8"/>
      <c r="B112" s="9"/>
      <c r="C112" s="9"/>
      <c r="D112" s="10"/>
      <c r="E112" s="10"/>
      <c r="F112" s="12" t="str">
        <f t="array" ref="F112">IF($B112="","",IFERROR(INDEX(Accounts!$B$2:$B$100,MATCH($B112,Accounts!$A$2:$A$100,0)),""))</f>
        <v/>
      </c>
      <c r="G112" s="12" t="str">
        <f t="array" ref="G112">IF($B112="","",IFERROR(INDEX(Accounts!$C$2:$C$100,MATCH($B112,Accounts!$A$2:$A$100,0)),""))</f>
        <v/>
      </c>
      <c r="H112" s="12" t="str">
        <f t="shared" si="0"/>
        <v/>
      </c>
      <c r="I112" s="15" t="str">
        <f t="shared" si="1"/>
        <v/>
      </c>
      <c r="J112" s="16" t="str">
        <f t="shared" si="2"/>
        <v/>
      </c>
    </row>
    <row r="113" customHeight="1" spans="1:10">
      <c r="A113" s="8"/>
      <c r="B113" s="9"/>
      <c r="C113" s="9"/>
      <c r="D113" s="10"/>
      <c r="E113" s="10"/>
      <c r="F113" s="12" t="str">
        <f t="array" ref="F113">IF($B113="","",IFERROR(INDEX(Accounts!$B$2:$B$100,MATCH($B113,Accounts!$A$2:$A$100,0)),""))</f>
        <v/>
      </c>
      <c r="G113" s="12" t="str">
        <f t="array" ref="G113">IF($B113="","",IFERROR(INDEX(Accounts!$C$2:$C$100,MATCH($B113,Accounts!$A$2:$A$100,0)),""))</f>
        <v/>
      </c>
      <c r="H113" s="12" t="str">
        <f t="shared" si="0"/>
        <v/>
      </c>
      <c r="I113" s="15" t="str">
        <f t="shared" si="1"/>
        <v/>
      </c>
      <c r="J113" s="16" t="str">
        <f t="shared" si="2"/>
        <v/>
      </c>
    </row>
    <row r="114" customHeight="1" spans="1:10">
      <c r="A114" s="8"/>
      <c r="B114" s="9"/>
      <c r="C114" s="9"/>
      <c r="D114" s="10"/>
      <c r="E114" s="10"/>
      <c r="F114" s="12" t="str">
        <f t="array" ref="F114">IF($B114="","",IFERROR(INDEX(Accounts!$B$2:$B$100,MATCH($B114,Accounts!$A$2:$A$100,0)),""))</f>
        <v/>
      </c>
      <c r="G114" s="12" t="str">
        <f t="array" ref="G114">IF($B114="","",IFERROR(INDEX(Accounts!$C$2:$C$100,MATCH($B114,Accounts!$A$2:$A$100,0)),""))</f>
        <v/>
      </c>
      <c r="H114" s="12" t="str">
        <f t="shared" si="0"/>
        <v/>
      </c>
      <c r="I114" s="15" t="str">
        <f t="shared" si="1"/>
        <v/>
      </c>
      <c r="J114" s="16" t="str">
        <f t="shared" si="2"/>
        <v/>
      </c>
    </row>
    <row r="115" customHeight="1" spans="1:10">
      <c r="A115" s="8"/>
      <c r="B115" s="9"/>
      <c r="C115" s="9"/>
      <c r="D115" s="10"/>
      <c r="E115" s="10"/>
      <c r="F115" s="12" t="str">
        <f t="array" ref="F115">IF($B115="","",IFERROR(INDEX(Accounts!$B$2:$B$100,MATCH($B115,Accounts!$A$2:$A$100,0)),""))</f>
        <v/>
      </c>
      <c r="G115" s="12" t="str">
        <f t="array" ref="G115">IF($B115="","",IFERROR(INDEX(Accounts!$C$2:$C$100,MATCH($B115,Accounts!$A$2:$A$100,0)),""))</f>
        <v/>
      </c>
      <c r="H115" s="12" t="str">
        <f t="shared" si="0"/>
        <v/>
      </c>
      <c r="I115" s="15" t="str">
        <f t="shared" si="1"/>
        <v/>
      </c>
      <c r="J115" s="16" t="str">
        <f t="shared" si="2"/>
        <v/>
      </c>
    </row>
    <row r="116" customHeight="1" spans="1:10">
      <c r="A116" s="8"/>
      <c r="B116" s="9"/>
      <c r="C116" s="9"/>
      <c r="D116" s="10"/>
      <c r="E116" s="10"/>
      <c r="F116" s="12" t="str">
        <f t="array" ref="F116">IF($B116="","",IFERROR(INDEX(Accounts!$B$2:$B$100,MATCH($B116,Accounts!$A$2:$A$100,0)),""))</f>
        <v/>
      </c>
      <c r="G116" s="12" t="str">
        <f t="array" ref="G116">IF($B116="","",IFERROR(INDEX(Accounts!$C$2:$C$100,MATCH($B116,Accounts!$A$2:$A$100,0)),""))</f>
        <v/>
      </c>
      <c r="H116" s="12" t="str">
        <f t="shared" si="0"/>
        <v/>
      </c>
      <c r="I116" s="15" t="str">
        <f t="shared" si="1"/>
        <v/>
      </c>
      <c r="J116" s="16" t="str">
        <f t="shared" si="2"/>
        <v/>
      </c>
    </row>
    <row r="117" customHeight="1" spans="1:10">
      <c r="A117" s="8"/>
      <c r="B117" s="9"/>
      <c r="C117" s="9"/>
      <c r="D117" s="10"/>
      <c r="E117" s="10"/>
      <c r="F117" s="12" t="str">
        <f t="array" ref="F117">IF($B117="","",IFERROR(INDEX(Accounts!$B$2:$B$100,MATCH($B117,Accounts!$A$2:$A$100,0)),""))</f>
        <v/>
      </c>
      <c r="G117" s="12" t="str">
        <f t="array" ref="G117">IF($B117="","",IFERROR(INDEX(Accounts!$C$2:$C$100,MATCH($B117,Accounts!$A$2:$A$100,0)),""))</f>
        <v/>
      </c>
      <c r="H117" s="12" t="str">
        <f t="shared" si="0"/>
        <v/>
      </c>
      <c r="I117" s="15" t="str">
        <f t="shared" si="1"/>
        <v/>
      </c>
      <c r="J117" s="16" t="str">
        <f t="shared" si="2"/>
        <v/>
      </c>
    </row>
    <row r="118" customHeight="1" spans="1:10">
      <c r="A118" s="8"/>
      <c r="B118" s="9"/>
      <c r="C118" s="9"/>
      <c r="D118" s="10"/>
      <c r="E118" s="10"/>
      <c r="F118" s="12" t="str">
        <f t="array" ref="F118">IF($B118="","",IFERROR(INDEX(Accounts!$B$2:$B$100,MATCH($B118,Accounts!$A$2:$A$100,0)),""))</f>
        <v/>
      </c>
      <c r="G118" s="12" t="str">
        <f t="array" ref="G118">IF($B118="","",IFERROR(INDEX(Accounts!$C$2:$C$100,MATCH($B118,Accounts!$A$2:$A$100,0)),""))</f>
        <v/>
      </c>
      <c r="H118" s="12" t="str">
        <f t="shared" si="0"/>
        <v/>
      </c>
      <c r="I118" s="15" t="str">
        <f t="shared" si="1"/>
        <v/>
      </c>
      <c r="J118" s="16" t="str">
        <f t="shared" si="2"/>
        <v/>
      </c>
    </row>
    <row r="119" customHeight="1" spans="1:10">
      <c r="A119" s="8"/>
      <c r="B119" s="9"/>
      <c r="C119" s="9"/>
      <c r="D119" s="10"/>
      <c r="E119" s="10"/>
      <c r="F119" s="12" t="str">
        <f t="array" ref="F119">IF($B119="","",IFERROR(INDEX(Accounts!$B$2:$B$100,MATCH($B119,Accounts!$A$2:$A$100,0)),""))</f>
        <v/>
      </c>
      <c r="G119" s="12" t="str">
        <f t="array" ref="G119">IF($B119="","",IFERROR(INDEX(Accounts!$C$2:$C$100,MATCH($B119,Accounts!$A$2:$A$100,0)),""))</f>
        <v/>
      </c>
      <c r="H119" s="12" t="str">
        <f t="shared" si="0"/>
        <v/>
      </c>
      <c r="I119" s="15" t="str">
        <f t="shared" si="1"/>
        <v/>
      </c>
      <c r="J119" s="16" t="str">
        <f t="shared" si="2"/>
        <v/>
      </c>
    </row>
    <row r="120" customHeight="1" spans="1:10">
      <c r="A120" s="8"/>
      <c r="B120" s="9"/>
      <c r="C120" s="9"/>
      <c r="D120" s="10"/>
      <c r="E120" s="10"/>
      <c r="F120" s="12" t="str">
        <f t="array" ref="F120">IF($B120="","",IFERROR(INDEX(Accounts!$B$2:$B$100,MATCH($B120,Accounts!$A$2:$A$100,0)),""))</f>
        <v/>
      </c>
      <c r="G120" s="12" t="str">
        <f t="array" ref="G120">IF($B120="","",IFERROR(INDEX(Accounts!$C$2:$C$100,MATCH($B120,Accounts!$A$2:$A$100,0)),""))</f>
        <v/>
      </c>
      <c r="H120" s="12" t="str">
        <f t="shared" si="0"/>
        <v/>
      </c>
      <c r="I120" s="15" t="str">
        <f t="shared" si="1"/>
        <v/>
      </c>
      <c r="J120" s="16" t="str">
        <f t="shared" si="2"/>
        <v/>
      </c>
    </row>
    <row r="121" customHeight="1" spans="1:10">
      <c r="A121" s="8"/>
      <c r="B121" s="9"/>
      <c r="C121" s="9"/>
      <c r="D121" s="10"/>
      <c r="E121" s="10"/>
      <c r="F121" s="12" t="str">
        <f t="array" ref="F121">IF($B121="","",IFERROR(INDEX(Accounts!$B$2:$B$100,MATCH($B121,Accounts!$A$2:$A$100,0)),""))</f>
        <v/>
      </c>
      <c r="G121" s="12" t="str">
        <f t="array" ref="G121">IF($B121="","",IFERROR(INDEX(Accounts!$C$2:$C$100,MATCH($B121,Accounts!$A$2:$A$100,0)),""))</f>
        <v/>
      </c>
      <c r="H121" s="12" t="str">
        <f t="shared" si="0"/>
        <v/>
      </c>
      <c r="I121" s="15" t="str">
        <f t="shared" si="1"/>
        <v/>
      </c>
      <c r="J121" s="16" t="str">
        <f t="shared" si="2"/>
        <v/>
      </c>
    </row>
    <row r="122" customHeight="1" spans="1:10">
      <c r="A122" s="8"/>
      <c r="B122" s="9"/>
      <c r="C122" s="9"/>
      <c r="D122" s="10"/>
      <c r="E122" s="10"/>
      <c r="F122" s="12" t="str">
        <f t="array" ref="F122">IF($B122="","",IFERROR(INDEX(Accounts!$B$2:$B$100,MATCH($B122,Accounts!$A$2:$A$100,0)),""))</f>
        <v/>
      </c>
      <c r="G122" s="12" t="str">
        <f t="array" ref="G122">IF($B122="","",IFERROR(INDEX(Accounts!$C$2:$C$100,MATCH($B122,Accounts!$A$2:$A$100,0)),""))</f>
        <v/>
      </c>
      <c r="H122" s="12" t="str">
        <f t="shared" si="0"/>
        <v/>
      </c>
      <c r="I122" s="15" t="str">
        <f t="shared" si="1"/>
        <v/>
      </c>
      <c r="J122" s="16" t="str">
        <f t="shared" si="2"/>
        <v/>
      </c>
    </row>
    <row r="123" customHeight="1" spans="1:10">
      <c r="A123" s="8"/>
      <c r="B123" s="9"/>
      <c r="C123" s="9"/>
      <c r="D123" s="10"/>
      <c r="E123" s="10"/>
      <c r="F123" s="12" t="str">
        <f t="array" ref="F123">IF($B123="","",IFERROR(INDEX(Accounts!$B$2:$B$100,MATCH($B123,Accounts!$A$2:$A$100,0)),""))</f>
        <v/>
      </c>
      <c r="G123" s="12" t="str">
        <f t="array" ref="G123">IF($B123="","",IFERROR(INDEX(Accounts!$C$2:$C$100,MATCH($B123,Accounts!$A$2:$A$100,0)),""))</f>
        <v/>
      </c>
      <c r="H123" s="12" t="str">
        <f t="shared" si="0"/>
        <v/>
      </c>
      <c r="I123" s="15" t="str">
        <f t="shared" si="1"/>
        <v/>
      </c>
      <c r="J123" s="16" t="str">
        <f t="shared" si="2"/>
        <v/>
      </c>
    </row>
    <row r="124" customHeight="1" spans="1:10">
      <c r="A124" s="8"/>
      <c r="B124" s="9"/>
      <c r="C124" s="9"/>
      <c r="D124" s="10"/>
      <c r="E124" s="10"/>
      <c r="F124" s="12" t="str">
        <f t="array" ref="F124">IF($B124="","",IFERROR(INDEX(Accounts!$B$2:$B$100,MATCH($B124,Accounts!$A$2:$A$100,0)),""))</f>
        <v/>
      </c>
      <c r="G124" s="12" t="str">
        <f t="array" ref="G124">IF($B124="","",IFERROR(INDEX(Accounts!$C$2:$C$100,MATCH($B124,Accounts!$A$2:$A$100,0)),""))</f>
        <v/>
      </c>
      <c r="H124" s="12" t="str">
        <f t="shared" si="0"/>
        <v/>
      </c>
      <c r="I124" s="15" t="str">
        <f t="shared" si="1"/>
        <v/>
      </c>
      <c r="J124" s="16" t="str">
        <f t="shared" si="2"/>
        <v/>
      </c>
    </row>
    <row r="125" customHeight="1" spans="1:10">
      <c r="A125" s="8"/>
      <c r="B125" s="9"/>
      <c r="C125" s="9"/>
      <c r="D125" s="10"/>
      <c r="E125" s="10"/>
      <c r="F125" s="12" t="str">
        <f t="array" ref="F125">IF($B125="","",IFERROR(INDEX(Accounts!$B$2:$B$100,MATCH($B125,Accounts!$A$2:$A$100,0)),""))</f>
        <v/>
      </c>
      <c r="G125" s="12" t="str">
        <f t="array" ref="G125">IF($B125="","",IFERROR(INDEX(Accounts!$C$2:$C$100,MATCH($B125,Accounts!$A$2:$A$100,0)),""))</f>
        <v/>
      </c>
      <c r="H125" s="12" t="str">
        <f t="shared" si="0"/>
        <v/>
      </c>
      <c r="I125" s="15" t="str">
        <f t="shared" si="1"/>
        <v/>
      </c>
      <c r="J125" s="16" t="str">
        <f t="shared" si="2"/>
        <v/>
      </c>
    </row>
    <row r="126" customHeight="1" spans="1:10">
      <c r="A126" s="8"/>
      <c r="B126" s="9"/>
      <c r="C126" s="9"/>
      <c r="D126" s="10"/>
      <c r="E126" s="10"/>
      <c r="F126" s="12" t="str">
        <f t="array" ref="F126">IF($B126="","",IFERROR(INDEX(Accounts!$B$2:$B$100,MATCH($B126,Accounts!$A$2:$A$100,0)),""))</f>
        <v/>
      </c>
      <c r="G126" s="12" t="str">
        <f t="array" ref="G126">IF($B126="","",IFERROR(INDEX(Accounts!$C$2:$C$100,MATCH($B126,Accounts!$A$2:$A$100,0)),""))</f>
        <v/>
      </c>
      <c r="H126" s="12" t="str">
        <f t="shared" si="0"/>
        <v/>
      </c>
      <c r="I126" s="15" t="str">
        <f t="shared" si="1"/>
        <v/>
      </c>
      <c r="J126" s="16" t="str">
        <f t="shared" si="2"/>
        <v/>
      </c>
    </row>
    <row r="127" customHeight="1" spans="1:10">
      <c r="A127" s="8"/>
      <c r="B127" s="9"/>
      <c r="C127" s="9"/>
      <c r="D127" s="10"/>
      <c r="E127" s="10"/>
      <c r="F127" s="12" t="str">
        <f t="array" ref="F127">IF($B127="","",IFERROR(INDEX(Accounts!$B$2:$B$100,MATCH($B127,Accounts!$A$2:$A$100,0)),""))</f>
        <v/>
      </c>
      <c r="G127" s="12" t="str">
        <f t="array" ref="G127">IF($B127="","",IFERROR(INDEX(Accounts!$C$2:$C$100,MATCH($B127,Accounts!$A$2:$A$100,0)),""))</f>
        <v/>
      </c>
      <c r="H127" s="12" t="str">
        <f t="shared" si="0"/>
        <v/>
      </c>
      <c r="I127" s="15" t="str">
        <f t="shared" si="1"/>
        <v/>
      </c>
      <c r="J127" s="16" t="str">
        <f t="shared" si="2"/>
        <v/>
      </c>
    </row>
    <row r="128" customHeight="1" spans="1:10">
      <c r="A128" s="8"/>
      <c r="B128" s="9"/>
      <c r="C128" s="9"/>
      <c r="D128" s="10"/>
      <c r="E128" s="10"/>
      <c r="F128" s="12" t="str">
        <f t="array" ref="F128">IF($B128="","",IFERROR(INDEX(Accounts!$B$2:$B$100,MATCH($B128,Accounts!$A$2:$A$100,0)),""))</f>
        <v/>
      </c>
      <c r="G128" s="12" t="str">
        <f t="array" ref="G128">IF($B128="","",IFERROR(INDEX(Accounts!$C$2:$C$100,MATCH($B128,Accounts!$A$2:$A$100,0)),""))</f>
        <v/>
      </c>
      <c r="H128" s="12" t="str">
        <f t="shared" si="0"/>
        <v/>
      </c>
      <c r="I128" s="15" t="str">
        <f t="shared" si="1"/>
        <v/>
      </c>
      <c r="J128" s="16" t="str">
        <f t="shared" si="2"/>
        <v/>
      </c>
    </row>
    <row r="129" customHeight="1" spans="1:10">
      <c r="A129" s="8"/>
      <c r="B129" s="9"/>
      <c r="C129" s="9"/>
      <c r="D129" s="10"/>
      <c r="E129" s="10"/>
      <c r="F129" s="12" t="str">
        <f t="array" ref="F129">IF($B129="","",IFERROR(INDEX(Accounts!$B$2:$B$100,MATCH($B129,Accounts!$A$2:$A$100,0)),""))</f>
        <v/>
      </c>
      <c r="G129" s="12" t="str">
        <f t="array" ref="G129">IF($B129="","",IFERROR(INDEX(Accounts!$C$2:$C$100,MATCH($B129,Accounts!$A$2:$A$100,0)),""))</f>
        <v/>
      </c>
      <c r="H129" s="12" t="str">
        <f t="shared" si="0"/>
        <v/>
      </c>
      <c r="I129" s="15" t="str">
        <f t="shared" si="1"/>
        <v/>
      </c>
      <c r="J129" s="16" t="str">
        <f t="shared" si="2"/>
        <v/>
      </c>
    </row>
    <row r="130" customHeight="1" spans="1:10">
      <c r="A130" s="8"/>
      <c r="B130" s="9"/>
      <c r="C130" s="9"/>
      <c r="D130" s="10"/>
      <c r="E130" s="10"/>
      <c r="F130" s="12" t="str">
        <f t="array" ref="F130">IF($B130="","",IFERROR(INDEX(Accounts!$B$2:$B$100,MATCH($B130,Accounts!$A$2:$A$100,0)),""))</f>
        <v/>
      </c>
      <c r="G130" s="12" t="str">
        <f t="array" ref="G130">IF($B130="","",IFERROR(INDEX(Accounts!$C$2:$C$100,MATCH($B130,Accounts!$A$2:$A$100,0)),""))</f>
        <v/>
      </c>
      <c r="H130" s="12" t="str">
        <f t="shared" si="0"/>
        <v/>
      </c>
      <c r="I130" s="15" t="str">
        <f t="shared" si="1"/>
        <v/>
      </c>
      <c r="J130" s="16" t="str">
        <f t="shared" si="2"/>
        <v/>
      </c>
    </row>
    <row r="131" customHeight="1" spans="1:10">
      <c r="A131" s="8"/>
      <c r="B131" s="9"/>
      <c r="C131" s="9"/>
      <c r="D131" s="10"/>
      <c r="E131" s="10"/>
      <c r="F131" s="12" t="str">
        <f t="array" ref="F131">IF($B131="","",IFERROR(INDEX(Accounts!$B$2:$B$100,MATCH($B131,Accounts!$A$2:$A$100,0)),""))</f>
        <v/>
      </c>
      <c r="G131" s="12" t="str">
        <f t="array" ref="G131">IF($B131="","",IFERROR(INDEX(Accounts!$C$2:$C$100,MATCH($B131,Accounts!$A$2:$A$100,0)),""))</f>
        <v/>
      </c>
      <c r="H131" s="12" t="str">
        <f t="shared" si="0"/>
        <v/>
      </c>
      <c r="I131" s="15" t="str">
        <f t="shared" si="1"/>
        <v/>
      </c>
      <c r="J131" s="16" t="str">
        <f t="shared" si="2"/>
        <v/>
      </c>
    </row>
    <row r="132" customHeight="1" spans="1:10">
      <c r="A132" s="8"/>
      <c r="B132" s="9"/>
      <c r="C132" s="9"/>
      <c r="D132" s="10"/>
      <c r="E132" s="10"/>
      <c r="F132" s="12" t="str">
        <f t="array" ref="F132">IF($B132="","",IFERROR(INDEX(Accounts!$B$2:$B$100,MATCH($B132,Accounts!$A$2:$A$100,0)),""))</f>
        <v/>
      </c>
      <c r="G132" s="12" t="str">
        <f t="array" ref="G132">IF($B132="","",IFERROR(INDEX(Accounts!$C$2:$C$100,MATCH($B132,Accounts!$A$2:$A$100,0)),""))</f>
        <v/>
      </c>
      <c r="H132" s="12" t="str">
        <f t="shared" si="0"/>
        <v/>
      </c>
      <c r="I132" s="15" t="str">
        <f t="shared" si="1"/>
        <v/>
      </c>
      <c r="J132" s="16" t="str">
        <f t="shared" si="2"/>
        <v/>
      </c>
    </row>
    <row r="133" customHeight="1" spans="1:10">
      <c r="A133" s="8"/>
      <c r="B133" s="9"/>
      <c r="C133" s="9"/>
      <c r="D133" s="10"/>
      <c r="E133" s="10"/>
      <c r="F133" s="12" t="str">
        <f t="array" ref="F133">IF($B133="","",IFERROR(INDEX(Accounts!$B$2:$B$100,MATCH($B133,Accounts!$A$2:$A$100,0)),""))</f>
        <v/>
      </c>
      <c r="G133" s="12" t="str">
        <f t="array" ref="G133">IF($B133="","",IFERROR(INDEX(Accounts!$C$2:$C$100,MATCH($B133,Accounts!$A$2:$A$100,0)),""))</f>
        <v/>
      </c>
      <c r="H133" s="12" t="str">
        <f t="shared" si="0"/>
        <v/>
      </c>
      <c r="I133" s="15" t="str">
        <f t="shared" si="1"/>
        <v/>
      </c>
      <c r="J133" s="16" t="str">
        <f t="shared" si="2"/>
        <v/>
      </c>
    </row>
    <row r="134" customHeight="1" spans="1:10">
      <c r="A134" s="8"/>
      <c r="B134" s="9"/>
      <c r="C134" s="9"/>
      <c r="D134" s="10"/>
      <c r="E134" s="10"/>
      <c r="F134" s="12" t="str">
        <f t="array" ref="F134">IF($B134="","",IFERROR(INDEX(Accounts!$B$2:$B$100,MATCH($B134,Accounts!$A$2:$A$100,0)),""))</f>
        <v/>
      </c>
      <c r="G134" s="12" t="str">
        <f t="array" ref="G134">IF($B134="","",IFERROR(INDEX(Accounts!$C$2:$C$100,MATCH($B134,Accounts!$A$2:$A$100,0)),""))</f>
        <v/>
      </c>
      <c r="H134" s="12" t="str">
        <f t="shared" si="0"/>
        <v/>
      </c>
      <c r="I134" s="15" t="str">
        <f t="shared" si="1"/>
        <v/>
      </c>
      <c r="J134" s="16" t="str">
        <f t="shared" si="2"/>
        <v/>
      </c>
    </row>
    <row r="135" customHeight="1" spans="1:10">
      <c r="A135" s="8"/>
      <c r="B135" s="9"/>
      <c r="C135" s="9"/>
      <c r="D135" s="10"/>
      <c r="E135" s="10"/>
      <c r="F135" s="12" t="str">
        <f t="array" ref="F135">IF($B135="","",IFERROR(INDEX(Accounts!$B$2:$B$100,MATCH($B135,Accounts!$A$2:$A$100,0)),""))</f>
        <v/>
      </c>
      <c r="G135" s="12" t="str">
        <f t="array" ref="G135">IF($B135="","",IFERROR(INDEX(Accounts!$C$2:$C$100,MATCH($B135,Accounts!$A$2:$A$100,0)),""))</f>
        <v/>
      </c>
      <c r="H135" s="12" t="str">
        <f t="shared" si="0"/>
        <v/>
      </c>
      <c r="I135" s="15" t="str">
        <f t="shared" si="1"/>
        <v/>
      </c>
      <c r="J135" s="16" t="str">
        <f t="shared" si="2"/>
        <v/>
      </c>
    </row>
    <row r="136" customHeight="1" spans="1:10">
      <c r="A136" s="8"/>
      <c r="B136" s="9"/>
      <c r="C136" s="9"/>
      <c r="D136" s="10"/>
      <c r="E136" s="10"/>
      <c r="F136" s="12" t="str">
        <f t="array" ref="F136">IF($B136="","",IFERROR(INDEX(Accounts!$B$2:$B$100,MATCH($B136,Accounts!$A$2:$A$100,0)),""))</f>
        <v/>
      </c>
      <c r="G136" s="12" t="str">
        <f t="array" ref="G136">IF($B136="","",IFERROR(INDEX(Accounts!$C$2:$C$100,MATCH($B136,Accounts!$A$2:$A$100,0)),""))</f>
        <v/>
      </c>
      <c r="H136" s="12" t="str">
        <f t="shared" si="0"/>
        <v/>
      </c>
      <c r="I136" s="15" t="str">
        <f t="shared" si="1"/>
        <v/>
      </c>
      <c r="J136" s="16" t="str">
        <f t="shared" si="2"/>
        <v/>
      </c>
    </row>
    <row r="137" customHeight="1" spans="1:10">
      <c r="A137" s="8"/>
      <c r="B137" s="9"/>
      <c r="C137" s="9"/>
      <c r="D137" s="10"/>
      <c r="E137" s="10"/>
      <c r="F137" s="12" t="str">
        <f t="array" ref="F137">IF($B137="","",IFERROR(INDEX(Accounts!$B$2:$B$100,MATCH($B137,Accounts!$A$2:$A$100,0)),""))</f>
        <v/>
      </c>
      <c r="G137" s="12" t="str">
        <f t="array" ref="G137">IF($B137="","",IFERROR(INDEX(Accounts!$C$2:$C$100,MATCH($B137,Accounts!$A$2:$A$100,0)),""))</f>
        <v/>
      </c>
      <c r="H137" s="12" t="str">
        <f t="shared" si="0"/>
        <v/>
      </c>
      <c r="I137" s="15" t="str">
        <f t="shared" si="1"/>
        <v/>
      </c>
      <c r="J137" s="16" t="str">
        <f t="shared" si="2"/>
        <v/>
      </c>
    </row>
    <row r="138" customHeight="1" spans="1:10">
      <c r="A138" s="8"/>
      <c r="B138" s="9"/>
      <c r="C138" s="9"/>
      <c r="D138" s="10"/>
      <c r="E138" s="10"/>
      <c r="F138" s="12" t="str">
        <f t="array" ref="F138">IF($B138="","",IFERROR(INDEX(Accounts!$B$2:$B$100,MATCH($B138,Accounts!$A$2:$A$100,0)),""))</f>
        <v/>
      </c>
      <c r="G138" s="12" t="str">
        <f t="array" ref="G138">IF($B138="","",IFERROR(INDEX(Accounts!$C$2:$C$100,MATCH($B138,Accounts!$A$2:$A$100,0)),""))</f>
        <v/>
      </c>
      <c r="H138" s="12" t="str">
        <f t="shared" si="0"/>
        <v/>
      </c>
      <c r="I138" s="15" t="str">
        <f t="shared" si="1"/>
        <v/>
      </c>
      <c r="J138" s="16" t="str">
        <f t="shared" si="2"/>
        <v/>
      </c>
    </row>
    <row r="139" customHeight="1" spans="1:10">
      <c r="A139" s="8"/>
      <c r="B139" s="9"/>
      <c r="C139" s="9"/>
      <c r="D139" s="10"/>
      <c r="E139" s="10"/>
      <c r="F139" s="12" t="str">
        <f t="array" ref="F139">IF($B139="","",IFERROR(INDEX(Accounts!$B$2:$B$100,MATCH($B139,Accounts!$A$2:$A$100,0)),""))</f>
        <v/>
      </c>
      <c r="G139" s="12" t="str">
        <f t="array" ref="G139">IF($B139="","",IFERROR(INDEX(Accounts!$C$2:$C$100,MATCH($B139,Accounts!$A$2:$A$100,0)),""))</f>
        <v/>
      </c>
      <c r="H139" s="12" t="str">
        <f t="shared" si="0"/>
        <v/>
      </c>
      <c r="I139" s="15" t="str">
        <f t="shared" si="1"/>
        <v/>
      </c>
      <c r="J139" s="16" t="str">
        <f t="shared" si="2"/>
        <v/>
      </c>
    </row>
    <row r="140" customHeight="1" spans="1:10">
      <c r="A140" s="8"/>
      <c r="B140" s="9"/>
      <c r="C140" s="9"/>
      <c r="D140" s="10"/>
      <c r="E140" s="10"/>
      <c r="F140" s="12" t="str">
        <f t="array" ref="F140">IF($B140="","",IFERROR(INDEX(Accounts!$B$2:$B$100,MATCH($B140,Accounts!$A$2:$A$100,0)),""))</f>
        <v/>
      </c>
      <c r="G140" s="12" t="str">
        <f t="array" ref="G140">IF($B140="","",IFERROR(INDEX(Accounts!$C$2:$C$100,MATCH($B140,Accounts!$A$2:$A$100,0)),""))</f>
        <v/>
      </c>
      <c r="H140" s="12" t="str">
        <f t="shared" si="0"/>
        <v/>
      </c>
      <c r="I140" s="15" t="str">
        <f t="shared" si="1"/>
        <v/>
      </c>
      <c r="J140" s="16" t="str">
        <f t="shared" si="2"/>
        <v/>
      </c>
    </row>
    <row r="141" customHeight="1" spans="1:10">
      <c r="A141" s="8"/>
      <c r="B141" s="9"/>
      <c r="C141" s="9"/>
      <c r="D141" s="10"/>
      <c r="E141" s="10"/>
      <c r="F141" s="12" t="str">
        <f t="array" ref="F141">IF($B141="","",IFERROR(INDEX(Accounts!$B$2:$B$100,MATCH($B141,Accounts!$A$2:$A$100,0)),""))</f>
        <v/>
      </c>
      <c r="G141" s="12" t="str">
        <f t="array" ref="G141">IF($B141="","",IFERROR(INDEX(Accounts!$C$2:$C$100,MATCH($B141,Accounts!$A$2:$A$100,0)),""))</f>
        <v/>
      </c>
      <c r="H141" s="12" t="str">
        <f t="shared" si="0"/>
        <v/>
      </c>
      <c r="I141" s="15" t="str">
        <f t="shared" si="1"/>
        <v/>
      </c>
      <c r="J141" s="16" t="str">
        <f t="shared" si="2"/>
        <v/>
      </c>
    </row>
    <row r="142" customHeight="1" spans="1:10">
      <c r="A142" s="8"/>
      <c r="B142" s="9"/>
      <c r="C142" s="9"/>
      <c r="D142" s="10"/>
      <c r="E142" s="10"/>
      <c r="F142" s="12" t="str">
        <f t="array" ref="F142">IF($B142="","",IFERROR(INDEX(Accounts!$B$2:$B$100,MATCH($B142,Accounts!$A$2:$A$100,0)),""))</f>
        <v/>
      </c>
      <c r="G142" s="12" t="str">
        <f t="array" ref="G142">IF($B142="","",IFERROR(INDEX(Accounts!$C$2:$C$100,MATCH($B142,Accounts!$A$2:$A$100,0)),""))</f>
        <v/>
      </c>
      <c r="H142" s="12" t="str">
        <f t="shared" si="0"/>
        <v/>
      </c>
      <c r="I142" s="15" t="str">
        <f t="shared" si="1"/>
        <v/>
      </c>
      <c r="J142" s="16" t="str">
        <f t="shared" si="2"/>
        <v/>
      </c>
    </row>
    <row r="143" customHeight="1" spans="1:10">
      <c r="A143" s="8"/>
      <c r="B143" s="9"/>
      <c r="C143" s="9"/>
      <c r="D143" s="10"/>
      <c r="E143" s="10"/>
      <c r="F143" s="12" t="str">
        <f t="array" ref="F143">IF($B143="","",IFERROR(INDEX(Accounts!$B$2:$B$100,MATCH($B143,Accounts!$A$2:$A$100,0)),""))</f>
        <v/>
      </c>
      <c r="G143" s="12" t="str">
        <f t="array" ref="G143">IF($B143="","",IFERROR(INDEX(Accounts!$C$2:$C$100,MATCH($B143,Accounts!$A$2:$A$100,0)),""))</f>
        <v/>
      </c>
      <c r="H143" s="12" t="str">
        <f t="shared" si="0"/>
        <v/>
      </c>
      <c r="I143" s="15" t="str">
        <f t="shared" si="1"/>
        <v/>
      </c>
      <c r="J143" s="16" t="str">
        <f t="shared" si="2"/>
        <v/>
      </c>
    </row>
    <row r="144" customHeight="1" spans="1:10">
      <c r="A144" s="8"/>
      <c r="B144" s="9"/>
      <c r="C144" s="9"/>
      <c r="D144" s="10"/>
      <c r="E144" s="10"/>
      <c r="F144" s="12" t="str">
        <f t="array" ref="F144">IF($B144="","",IFERROR(INDEX(Accounts!$B$2:$B$100,MATCH($B144,Accounts!$A$2:$A$100,0)),""))</f>
        <v/>
      </c>
      <c r="G144" s="12" t="str">
        <f t="array" ref="G144">IF($B144="","",IFERROR(INDEX(Accounts!$C$2:$C$100,MATCH($B144,Accounts!$A$2:$A$100,0)),""))</f>
        <v/>
      </c>
      <c r="H144" s="12" t="str">
        <f t="shared" si="0"/>
        <v/>
      </c>
      <c r="I144" s="15" t="str">
        <f t="shared" si="1"/>
        <v/>
      </c>
      <c r="J144" s="16" t="str">
        <f t="shared" si="2"/>
        <v/>
      </c>
    </row>
    <row r="145" customHeight="1" spans="1:10">
      <c r="A145" s="8"/>
      <c r="B145" s="9"/>
      <c r="C145" s="9"/>
      <c r="D145" s="10"/>
      <c r="E145" s="10"/>
      <c r="F145" s="12" t="str">
        <f t="array" ref="F145">IF($B145="","",IFERROR(INDEX(Accounts!$B$2:$B$100,MATCH($B145,Accounts!$A$2:$A$100,0)),""))</f>
        <v/>
      </c>
      <c r="G145" s="12" t="str">
        <f t="array" ref="G145">IF($B145="","",IFERROR(INDEX(Accounts!$C$2:$C$100,MATCH($B145,Accounts!$A$2:$A$100,0)),""))</f>
        <v/>
      </c>
      <c r="H145" s="12" t="str">
        <f t="shared" si="0"/>
        <v/>
      </c>
      <c r="I145" s="15" t="str">
        <f t="shared" si="1"/>
        <v/>
      </c>
      <c r="J145" s="16" t="str">
        <f t="shared" si="2"/>
        <v/>
      </c>
    </row>
    <row r="146" customHeight="1" spans="1:10">
      <c r="A146" s="8"/>
      <c r="B146" s="9"/>
      <c r="C146" s="9"/>
      <c r="D146" s="10"/>
      <c r="E146" s="10"/>
      <c r="F146" s="12" t="str">
        <f t="array" ref="F146">IF($B146="","",IFERROR(INDEX(Accounts!$B$2:$B$100,MATCH($B146,Accounts!$A$2:$A$100,0)),""))</f>
        <v/>
      </c>
      <c r="G146" s="12" t="str">
        <f t="array" ref="G146">IF($B146="","",IFERROR(INDEX(Accounts!$C$2:$C$100,MATCH($B146,Accounts!$A$2:$A$100,0)),""))</f>
        <v/>
      </c>
      <c r="H146" s="12" t="str">
        <f t="shared" si="0"/>
        <v/>
      </c>
      <c r="I146" s="15" t="str">
        <f t="shared" si="1"/>
        <v/>
      </c>
      <c r="J146" s="16" t="str">
        <f t="shared" si="2"/>
        <v/>
      </c>
    </row>
    <row r="147" customHeight="1" spans="1:10">
      <c r="A147" s="8"/>
      <c r="B147" s="9"/>
      <c r="C147" s="9"/>
      <c r="D147" s="10"/>
      <c r="E147" s="10"/>
      <c r="F147" s="12" t="str">
        <f t="array" ref="F147">IF($B147="","",IFERROR(INDEX(Accounts!$B$2:$B$100,MATCH($B147,Accounts!$A$2:$A$100,0)),""))</f>
        <v/>
      </c>
      <c r="G147" s="12" t="str">
        <f t="array" ref="G147">IF($B147="","",IFERROR(INDEX(Accounts!$C$2:$C$100,MATCH($B147,Accounts!$A$2:$A$100,0)),""))</f>
        <v/>
      </c>
      <c r="H147" s="12" t="str">
        <f t="shared" si="0"/>
        <v/>
      </c>
      <c r="I147" s="15" t="str">
        <f t="shared" si="1"/>
        <v/>
      </c>
      <c r="J147" s="16" t="str">
        <f t="shared" si="2"/>
        <v/>
      </c>
    </row>
    <row r="148" customHeight="1" spans="1:10">
      <c r="A148" s="8"/>
      <c r="B148" s="9"/>
      <c r="C148" s="9"/>
      <c r="D148" s="10"/>
      <c r="E148" s="10"/>
      <c r="F148" s="12" t="str">
        <f t="array" ref="F148">IF($B148="","",IFERROR(INDEX(Accounts!$B$2:$B$100,MATCH($B148,Accounts!$A$2:$A$100,0)),""))</f>
        <v/>
      </c>
      <c r="G148" s="12" t="str">
        <f t="array" ref="G148">IF($B148="","",IFERROR(INDEX(Accounts!$C$2:$C$100,MATCH($B148,Accounts!$A$2:$A$100,0)),""))</f>
        <v/>
      </c>
      <c r="H148" s="12" t="str">
        <f t="shared" si="0"/>
        <v/>
      </c>
      <c r="I148" s="15" t="str">
        <f t="shared" si="1"/>
        <v/>
      </c>
      <c r="J148" s="16" t="str">
        <f t="shared" si="2"/>
        <v/>
      </c>
    </row>
    <row r="149" customHeight="1" spans="1:10">
      <c r="A149" s="8"/>
      <c r="B149" s="9"/>
      <c r="C149" s="9"/>
      <c r="D149" s="10"/>
      <c r="E149" s="10"/>
      <c r="F149" s="12" t="str">
        <f t="array" ref="F149">IF($B149="","",IFERROR(INDEX(Accounts!$B$2:$B$100,MATCH($B149,Accounts!$A$2:$A$100,0)),""))</f>
        <v/>
      </c>
      <c r="G149" s="12" t="str">
        <f t="array" ref="G149">IF($B149="","",IFERROR(INDEX(Accounts!$C$2:$C$100,MATCH($B149,Accounts!$A$2:$A$100,0)),""))</f>
        <v/>
      </c>
      <c r="H149" s="12" t="str">
        <f t="shared" si="0"/>
        <v/>
      </c>
      <c r="I149" s="15" t="str">
        <f t="shared" si="1"/>
        <v/>
      </c>
      <c r="J149" s="16" t="str">
        <f t="shared" si="2"/>
        <v/>
      </c>
    </row>
    <row r="150" customHeight="1" spans="1:10">
      <c r="A150" s="8"/>
      <c r="B150" s="9"/>
      <c r="C150" s="9"/>
      <c r="D150" s="10"/>
      <c r="E150" s="10"/>
      <c r="F150" s="12" t="str">
        <f t="array" ref="F150">IF($B150="","",IFERROR(INDEX(Accounts!$B$2:$B$100,MATCH($B150,Accounts!$A$2:$A$100,0)),""))</f>
        <v/>
      </c>
      <c r="G150" s="12" t="str">
        <f t="array" ref="G150">IF($B150="","",IFERROR(INDEX(Accounts!$C$2:$C$100,MATCH($B150,Accounts!$A$2:$A$100,0)),""))</f>
        <v/>
      </c>
      <c r="H150" s="12" t="str">
        <f t="shared" si="0"/>
        <v/>
      </c>
      <c r="I150" s="15" t="str">
        <f t="shared" si="1"/>
        <v/>
      </c>
      <c r="J150" s="16" t="str">
        <f t="shared" si="2"/>
        <v/>
      </c>
    </row>
    <row r="151" customHeight="1" spans="1:10">
      <c r="A151" s="8"/>
      <c r="B151" s="9"/>
      <c r="C151" s="9"/>
      <c r="D151" s="10"/>
      <c r="E151" s="10"/>
      <c r="F151" s="12" t="str">
        <f t="array" ref="F151">IF($B151="","",IFERROR(INDEX(Accounts!$B$2:$B$100,MATCH($B151,Accounts!$A$2:$A$100,0)),""))</f>
        <v/>
      </c>
      <c r="G151" s="12" t="str">
        <f t="array" ref="G151">IF($B151="","",IFERROR(INDEX(Accounts!$C$2:$C$100,MATCH($B151,Accounts!$A$2:$A$100,0)),""))</f>
        <v/>
      </c>
      <c r="H151" s="12" t="str">
        <f t="shared" si="0"/>
        <v/>
      </c>
      <c r="I151" s="15" t="str">
        <f t="shared" si="1"/>
        <v/>
      </c>
      <c r="J151" s="16" t="str">
        <f t="shared" si="2"/>
        <v/>
      </c>
    </row>
    <row r="152" customHeight="1" spans="1:10">
      <c r="A152" s="8"/>
      <c r="B152" s="9"/>
      <c r="C152" s="9"/>
      <c r="D152" s="10"/>
      <c r="E152" s="10"/>
      <c r="F152" s="12" t="str">
        <f t="array" ref="F152">IF($B152="","",IFERROR(INDEX(Accounts!$B$2:$B$100,MATCH($B152,Accounts!$A$2:$A$100,0)),""))</f>
        <v/>
      </c>
      <c r="G152" s="12" t="str">
        <f t="array" ref="G152">IF($B152="","",IFERROR(INDEX(Accounts!$C$2:$C$100,MATCH($B152,Accounts!$A$2:$A$100,0)),""))</f>
        <v/>
      </c>
      <c r="H152" s="12" t="str">
        <f t="shared" si="0"/>
        <v/>
      </c>
      <c r="I152" s="15" t="str">
        <f t="shared" si="1"/>
        <v/>
      </c>
      <c r="J152" s="16" t="str">
        <f t="shared" si="2"/>
        <v/>
      </c>
    </row>
    <row r="153" customHeight="1" spans="1:10">
      <c r="A153" s="8"/>
      <c r="B153" s="9"/>
      <c r="C153" s="9"/>
      <c r="D153" s="10"/>
      <c r="E153" s="10"/>
      <c r="F153" s="12" t="str">
        <f t="array" ref="F153">IF($B153="","",IFERROR(INDEX(Accounts!$B$2:$B$100,MATCH($B153,Accounts!$A$2:$A$100,0)),""))</f>
        <v/>
      </c>
      <c r="G153" s="12" t="str">
        <f t="array" ref="G153">IF($B153="","",IFERROR(INDEX(Accounts!$C$2:$C$100,MATCH($B153,Accounts!$A$2:$A$100,0)),""))</f>
        <v/>
      </c>
      <c r="H153" s="12" t="str">
        <f t="shared" si="0"/>
        <v/>
      </c>
      <c r="I153" s="15" t="str">
        <f t="shared" si="1"/>
        <v/>
      </c>
      <c r="J153" s="16" t="str">
        <f t="shared" si="2"/>
        <v/>
      </c>
    </row>
    <row r="154" customHeight="1" spans="1:10">
      <c r="A154" s="8"/>
      <c r="B154" s="9"/>
      <c r="C154" s="9"/>
      <c r="D154" s="10"/>
      <c r="E154" s="10"/>
      <c r="F154" s="12" t="str">
        <f t="array" ref="F154">IF($B154="","",IFERROR(INDEX(Accounts!$B$2:$B$100,MATCH($B154,Accounts!$A$2:$A$100,0)),""))</f>
        <v/>
      </c>
      <c r="G154" s="12" t="str">
        <f t="array" ref="G154">IF($B154="","",IFERROR(INDEX(Accounts!$C$2:$C$100,MATCH($B154,Accounts!$A$2:$A$100,0)),""))</f>
        <v/>
      </c>
      <c r="H154" s="12" t="str">
        <f t="shared" si="0"/>
        <v/>
      </c>
      <c r="I154" s="15" t="str">
        <f t="shared" si="1"/>
        <v/>
      </c>
      <c r="J154" s="16" t="str">
        <f t="shared" si="2"/>
        <v/>
      </c>
    </row>
    <row r="155" customHeight="1" spans="1:10">
      <c r="A155" s="8"/>
      <c r="B155" s="9"/>
      <c r="C155" s="9"/>
      <c r="D155" s="10"/>
      <c r="E155" s="10"/>
      <c r="F155" s="12" t="str">
        <f t="array" ref="F155">IF($B155="","",IFERROR(INDEX(Accounts!$B$2:$B$100,MATCH($B155,Accounts!$A$2:$A$100,0)),""))</f>
        <v/>
      </c>
      <c r="G155" s="12" t="str">
        <f t="array" ref="G155">IF($B155="","",IFERROR(INDEX(Accounts!$C$2:$C$100,MATCH($B155,Accounts!$A$2:$A$100,0)),""))</f>
        <v/>
      </c>
      <c r="H155" s="12" t="str">
        <f t="shared" si="0"/>
        <v/>
      </c>
      <c r="I155" s="15" t="str">
        <f t="shared" si="1"/>
        <v/>
      </c>
      <c r="J155" s="16" t="str">
        <f t="shared" si="2"/>
        <v/>
      </c>
    </row>
    <row r="156" customHeight="1" spans="1:10">
      <c r="A156" s="8"/>
      <c r="B156" s="9"/>
      <c r="C156" s="9"/>
      <c r="D156" s="10"/>
      <c r="E156" s="10"/>
      <c r="F156" s="12" t="str">
        <f t="array" ref="F156">IF($B156="","",IFERROR(INDEX(Accounts!$B$2:$B$100,MATCH($B156,Accounts!$A$2:$A$100,0)),""))</f>
        <v/>
      </c>
      <c r="G156" s="12" t="str">
        <f t="array" ref="G156">IF($B156="","",IFERROR(INDEX(Accounts!$C$2:$C$100,MATCH($B156,Accounts!$A$2:$A$100,0)),""))</f>
        <v/>
      </c>
      <c r="H156" s="12" t="str">
        <f t="shared" si="0"/>
        <v/>
      </c>
      <c r="I156" s="15" t="str">
        <f t="shared" si="1"/>
        <v/>
      </c>
      <c r="J156" s="16" t="str">
        <f t="shared" si="2"/>
        <v/>
      </c>
    </row>
    <row r="157" customHeight="1" spans="1:10">
      <c r="A157" s="8"/>
      <c r="B157" s="9"/>
      <c r="C157" s="9"/>
      <c r="D157" s="10"/>
      <c r="E157" s="10"/>
      <c r="F157" s="12" t="str">
        <f t="array" ref="F157">IF($B157="","",IFERROR(INDEX(Accounts!$B$2:$B$100,MATCH($B157,Accounts!$A$2:$A$100,0)),""))</f>
        <v/>
      </c>
      <c r="G157" s="12" t="str">
        <f t="array" ref="G157">IF($B157="","",IFERROR(INDEX(Accounts!$C$2:$C$100,MATCH($B157,Accounts!$A$2:$A$100,0)),""))</f>
        <v/>
      </c>
      <c r="H157" s="12" t="str">
        <f t="shared" si="0"/>
        <v/>
      </c>
      <c r="I157" s="15" t="str">
        <f t="shared" si="1"/>
        <v/>
      </c>
      <c r="J157" s="16" t="str">
        <f t="shared" si="2"/>
        <v/>
      </c>
    </row>
    <row r="158" customHeight="1" spans="1:10">
      <c r="A158" s="8"/>
      <c r="B158" s="9"/>
      <c r="C158" s="9"/>
      <c r="D158" s="10"/>
      <c r="E158" s="10"/>
      <c r="F158" s="12" t="str">
        <f t="array" ref="F158">IF($B158="","",IFERROR(INDEX(Accounts!$B$2:$B$100,MATCH($B158,Accounts!$A$2:$A$100,0)),""))</f>
        <v/>
      </c>
      <c r="G158" s="12" t="str">
        <f t="array" ref="G158">IF($B158="","",IFERROR(INDEX(Accounts!$C$2:$C$100,MATCH($B158,Accounts!$A$2:$A$100,0)),""))</f>
        <v/>
      </c>
      <c r="H158" s="12" t="str">
        <f t="shared" si="0"/>
        <v/>
      </c>
      <c r="I158" s="15" t="str">
        <f t="shared" si="1"/>
        <v/>
      </c>
      <c r="J158" s="16" t="str">
        <f t="shared" si="2"/>
        <v/>
      </c>
    </row>
    <row r="159" customHeight="1" spans="1:10">
      <c r="A159" s="8"/>
      <c r="B159" s="9"/>
      <c r="C159" s="9"/>
      <c r="D159" s="10"/>
      <c r="E159" s="10"/>
      <c r="F159" s="12" t="str">
        <f t="array" ref="F159">IF($B159="","",IFERROR(INDEX(Accounts!$B$2:$B$100,MATCH($B159,Accounts!$A$2:$A$100,0)),""))</f>
        <v/>
      </c>
      <c r="G159" s="12" t="str">
        <f t="array" ref="G159">IF($B159="","",IFERROR(INDEX(Accounts!$C$2:$C$100,MATCH($B159,Accounts!$A$2:$A$100,0)),""))</f>
        <v/>
      </c>
      <c r="H159" s="12" t="str">
        <f t="shared" si="0"/>
        <v/>
      </c>
      <c r="I159" s="15" t="str">
        <f t="shared" si="1"/>
        <v/>
      </c>
      <c r="J159" s="16" t="str">
        <f t="shared" si="2"/>
        <v/>
      </c>
    </row>
    <row r="160" customHeight="1" spans="1:10">
      <c r="A160" s="8"/>
      <c r="B160" s="9"/>
      <c r="C160" s="9"/>
      <c r="D160" s="10"/>
      <c r="E160" s="10"/>
      <c r="F160" s="12" t="str">
        <f t="array" ref="F160">IF($B160="","",IFERROR(INDEX(Accounts!$B$2:$B$100,MATCH($B160,Accounts!$A$2:$A$100,0)),""))</f>
        <v/>
      </c>
      <c r="G160" s="12" t="str">
        <f t="array" ref="G160">IF($B160="","",IFERROR(INDEX(Accounts!$C$2:$C$100,MATCH($B160,Accounts!$A$2:$A$100,0)),""))</f>
        <v/>
      </c>
      <c r="H160" s="12" t="str">
        <f t="shared" si="0"/>
        <v/>
      </c>
      <c r="I160" s="15" t="str">
        <f t="shared" si="1"/>
        <v/>
      </c>
      <c r="J160" s="16" t="str">
        <f t="shared" si="2"/>
        <v/>
      </c>
    </row>
    <row r="161" customHeight="1" spans="1:10">
      <c r="A161" s="8"/>
      <c r="B161" s="9"/>
      <c r="C161" s="9"/>
      <c r="D161" s="10"/>
      <c r="E161" s="10"/>
      <c r="F161" s="12" t="str">
        <f t="array" ref="F161">IF($B161="","",IFERROR(INDEX(Accounts!$B$2:$B$100,MATCH($B161,Accounts!$A$2:$A$100,0)),""))</f>
        <v/>
      </c>
      <c r="G161" s="12" t="str">
        <f t="array" ref="G161">IF($B161="","",IFERROR(INDEX(Accounts!$C$2:$C$100,MATCH($B161,Accounts!$A$2:$A$100,0)),""))</f>
        <v/>
      </c>
      <c r="H161" s="12" t="str">
        <f t="shared" si="0"/>
        <v/>
      </c>
      <c r="I161" s="15" t="str">
        <f t="shared" si="1"/>
        <v/>
      </c>
      <c r="J161" s="16" t="str">
        <f t="shared" si="2"/>
        <v/>
      </c>
    </row>
    <row r="162" customHeight="1" spans="1:10">
      <c r="A162" s="8"/>
      <c r="B162" s="9"/>
      <c r="C162" s="9"/>
      <c r="D162" s="10"/>
      <c r="E162" s="10"/>
      <c r="F162" s="12" t="str">
        <f t="array" ref="F162">IF($B162="","",IFERROR(INDEX(Accounts!$B$2:$B$100,MATCH($B162,Accounts!$A$2:$A$100,0)),""))</f>
        <v/>
      </c>
      <c r="G162" s="12" t="str">
        <f t="array" ref="G162">IF($B162="","",IFERROR(INDEX(Accounts!$C$2:$C$100,MATCH($B162,Accounts!$A$2:$A$100,0)),""))</f>
        <v/>
      </c>
      <c r="H162" s="12" t="str">
        <f t="shared" si="0"/>
        <v/>
      </c>
      <c r="I162" s="15" t="str">
        <f t="shared" si="1"/>
        <v/>
      </c>
      <c r="J162" s="16" t="str">
        <f t="shared" si="2"/>
        <v/>
      </c>
    </row>
    <row r="163" customHeight="1" spans="1:10">
      <c r="A163" s="8"/>
      <c r="B163" s="9"/>
      <c r="C163" s="9"/>
      <c r="D163" s="10"/>
      <c r="E163" s="10"/>
      <c r="F163" s="12" t="str">
        <f t="array" ref="F163">IF($B163="","",IFERROR(INDEX(Accounts!$B$2:$B$100,MATCH($B163,Accounts!$A$2:$A$100,0)),""))</f>
        <v/>
      </c>
      <c r="G163" s="12" t="str">
        <f t="array" ref="G163">IF($B163="","",IFERROR(INDEX(Accounts!$C$2:$C$100,MATCH($B163,Accounts!$A$2:$A$100,0)),""))</f>
        <v/>
      </c>
      <c r="H163" s="12" t="str">
        <f t="shared" si="0"/>
        <v/>
      </c>
      <c r="I163" s="15" t="str">
        <f t="shared" si="1"/>
        <v/>
      </c>
      <c r="J163" s="16" t="str">
        <f t="shared" si="2"/>
        <v/>
      </c>
    </row>
    <row r="164" customHeight="1" spans="1:10">
      <c r="A164" s="8"/>
      <c r="B164" s="9"/>
      <c r="C164" s="9"/>
      <c r="D164" s="10"/>
      <c r="E164" s="10"/>
      <c r="F164" s="12" t="str">
        <f t="array" ref="F164">IF($B164="","",IFERROR(INDEX(Accounts!$B$2:$B$100,MATCH($B164,Accounts!$A$2:$A$100,0)),""))</f>
        <v/>
      </c>
      <c r="G164" s="12" t="str">
        <f t="array" ref="G164">IF($B164="","",IFERROR(INDEX(Accounts!$C$2:$C$100,MATCH($B164,Accounts!$A$2:$A$100,0)),""))</f>
        <v/>
      </c>
      <c r="H164" s="12" t="str">
        <f t="shared" si="0"/>
        <v/>
      </c>
      <c r="I164" s="15" t="str">
        <f t="shared" si="1"/>
        <v/>
      </c>
      <c r="J164" s="16" t="str">
        <f t="shared" si="2"/>
        <v/>
      </c>
    </row>
    <row r="165" customHeight="1" spans="1:10">
      <c r="A165" s="8"/>
      <c r="B165" s="9"/>
      <c r="C165" s="9"/>
      <c r="D165" s="10"/>
      <c r="E165" s="10"/>
      <c r="F165" s="12" t="str">
        <f t="array" ref="F165">IF($B165="","",IFERROR(INDEX(Accounts!$B$2:$B$100,MATCH($B165,Accounts!$A$2:$A$100,0)),""))</f>
        <v/>
      </c>
      <c r="G165" s="12" t="str">
        <f t="array" ref="G165">IF($B165="","",IFERROR(INDEX(Accounts!$C$2:$C$100,MATCH($B165,Accounts!$A$2:$A$100,0)),""))</f>
        <v/>
      </c>
      <c r="H165" s="12" t="str">
        <f t="shared" si="0"/>
        <v/>
      </c>
      <c r="I165" s="15" t="str">
        <f t="shared" si="1"/>
        <v/>
      </c>
      <c r="J165" s="16" t="str">
        <f t="shared" si="2"/>
        <v/>
      </c>
    </row>
    <row r="166" customHeight="1" spans="1:10">
      <c r="A166" s="8"/>
      <c r="B166" s="9"/>
      <c r="C166" s="9"/>
      <c r="D166" s="10"/>
      <c r="E166" s="10"/>
      <c r="F166" s="12" t="str">
        <f t="array" ref="F166">IF($B166="","",IFERROR(INDEX(Accounts!$B$2:$B$100,MATCH($B166,Accounts!$A$2:$A$100,0)),""))</f>
        <v/>
      </c>
      <c r="G166" s="12" t="str">
        <f t="array" ref="G166">IF($B166="","",IFERROR(INDEX(Accounts!$C$2:$C$100,MATCH($B166,Accounts!$A$2:$A$100,0)),""))</f>
        <v/>
      </c>
      <c r="H166" s="12" t="str">
        <f t="shared" si="0"/>
        <v/>
      </c>
      <c r="I166" s="15" t="str">
        <f t="shared" si="1"/>
        <v/>
      </c>
      <c r="J166" s="16" t="str">
        <f t="shared" si="2"/>
        <v/>
      </c>
    </row>
    <row r="167" customHeight="1" spans="1:10">
      <c r="A167" s="8"/>
      <c r="B167" s="9"/>
      <c r="C167" s="9"/>
      <c r="D167" s="10"/>
      <c r="E167" s="10"/>
      <c r="F167" s="12" t="str">
        <f t="array" ref="F167">IF($B167="","",IFERROR(INDEX(Accounts!$B$2:$B$100,MATCH($B167,Accounts!$A$2:$A$100,0)),""))</f>
        <v/>
      </c>
      <c r="G167" s="12" t="str">
        <f t="array" ref="G167">IF($B167="","",IFERROR(INDEX(Accounts!$C$2:$C$100,MATCH($B167,Accounts!$A$2:$A$100,0)),""))</f>
        <v/>
      </c>
      <c r="H167" s="12" t="str">
        <f t="shared" si="0"/>
        <v/>
      </c>
      <c r="I167" s="15" t="str">
        <f t="shared" si="1"/>
        <v/>
      </c>
      <c r="J167" s="16" t="str">
        <f t="shared" si="2"/>
        <v/>
      </c>
    </row>
    <row r="168" customHeight="1" spans="1:10">
      <c r="A168" s="8"/>
      <c r="B168" s="9"/>
      <c r="C168" s="9"/>
      <c r="D168" s="10"/>
      <c r="E168" s="10"/>
      <c r="F168" s="12" t="str">
        <f t="array" ref="F168">IF($B168="","",IFERROR(INDEX(Accounts!$B$2:$B$100,MATCH($B168,Accounts!$A$2:$A$100,0)),""))</f>
        <v/>
      </c>
      <c r="G168" s="12" t="str">
        <f t="array" ref="G168">IF($B168="","",IFERROR(INDEX(Accounts!$C$2:$C$100,MATCH($B168,Accounts!$A$2:$A$100,0)),""))</f>
        <v/>
      </c>
      <c r="H168" s="12" t="str">
        <f t="shared" si="0"/>
        <v/>
      </c>
      <c r="I168" s="15" t="str">
        <f t="shared" si="1"/>
        <v/>
      </c>
      <c r="J168" s="16" t="str">
        <f t="shared" si="2"/>
        <v/>
      </c>
    </row>
    <row r="169" customHeight="1" spans="1:10">
      <c r="A169" s="8"/>
      <c r="B169" s="9"/>
      <c r="C169" s="9"/>
      <c r="D169" s="10"/>
      <c r="E169" s="10"/>
      <c r="F169" s="12" t="str">
        <f t="array" ref="F169">IF($B169="","",IFERROR(INDEX(Accounts!$B$2:$B$100,MATCH($B169,Accounts!$A$2:$A$100,0)),""))</f>
        <v/>
      </c>
      <c r="G169" s="12" t="str">
        <f t="array" ref="G169">IF($B169="","",IFERROR(INDEX(Accounts!$C$2:$C$100,MATCH($B169,Accounts!$A$2:$A$100,0)),""))</f>
        <v/>
      </c>
      <c r="H169" s="12" t="str">
        <f t="shared" si="0"/>
        <v/>
      </c>
      <c r="I169" s="15" t="str">
        <f t="shared" si="1"/>
        <v/>
      </c>
      <c r="J169" s="16" t="str">
        <f t="shared" si="2"/>
        <v/>
      </c>
    </row>
    <row r="170" customHeight="1" spans="1:10">
      <c r="A170" s="8"/>
      <c r="B170" s="9"/>
      <c r="C170" s="9"/>
      <c r="D170" s="10"/>
      <c r="E170" s="10"/>
      <c r="F170" s="12" t="str">
        <f t="array" ref="F170">IF($B170="","",IFERROR(INDEX(Accounts!$B$2:$B$100,MATCH($B170,Accounts!$A$2:$A$100,0)),""))</f>
        <v/>
      </c>
      <c r="G170" s="12" t="str">
        <f t="array" ref="G170">IF($B170="","",IFERROR(INDEX(Accounts!$C$2:$C$100,MATCH($B170,Accounts!$A$2:$A$100,0)),""))</f>
        <v/>
      </c>
      <c r="H170" s="12" t="str">
        <f t="shared" si="0"/>
        <v/>
      </c>
      <c r="I170" s="15" t="str">
        <f t="shared" si="1"/>
        <v/>
      </c>
      <c r="J170" s="16" t="str">
        <f t="shared" si="2"/>
        <v/>
      </c>
    </row>
    <row r="171" customHeight="1" spans="1:10">
      <c r="A171" s="8"/>
      <c r="B171" s="9"/>
      <c r="C171" s="9"/>
      <c r="D171" s="10"/>
      <c r="E171" s="10"/>
      <c r="F171" s="12" t="str">
        <f t="array" ref="F171">IF($B171="","",IFERROR(INDEX(Accounts!$B$2:$B$100,MATCH($B171,Accounts!$A$2:$A$100,0)),""))</f>
        <v/>
      </c>
      <c r="G171" s="12" t="str">
        <f t="array" ref="G171">IF($B171="","",IFERROR(INDEX(Accounts!$C$2:$C$100,MATCH($B171,Accounts!$A$2:$A$100,0)),""))</f>
        <v/>
      </c>
      <c r="H171" s="12" t="str">
        <f t="shared" si="0"/>
        <v/>
      </c>
      <c r="I171" s="15" t="str">
        <f t="shared" si="1"/>
        <v/>
      </c>
      <c r="J171" s="16" t="str">
        <f t="shared" si="2"/>
        <v/>
      </c>
    </row>
    <row r="172" customHeight="1" spans="1:10">
      <c r="A172" s="8"/>
      <c r="B172" s="9"/>
      <c r="C172" s="9"/>
      <c r="D172" s="10"/>
      <c r="E172" s="10"/>
      <c r="F172" s="12" t="str">
        <f t="array" ref="F172">IF($B172="","",IFERROR(INDEX(Accounts!$B$2:$B$100,MATCH($B172,Accounts!$A$2:$A$100,0)),""))</f>
        <v/>
      </c>
      <c r="G172" s="12" t="str">
        <f t="array" ref="G172">IF($B172="","",IFERROR(INDEX(Accounts!$C$2:$C$100,MATCH($B172,Accounts!$A$2:$A$100,0)),""))</f>
        <v/>
      </c>
      <c r="H172" s="12" t="str">
        <f t="shared" si="0"/>
        <v/>
      </c>
      <c r="I172" s="15" t="str">
        <f t="shared" si="1"/>
        <v/>
      </c>
      <c r="J172" s="16" t="str">
        <f t="shared" si="2"/>
        <v/>
      </c>
    </row>
    <row r="173" customHeight="1" spans="1:10">
      <c r="A173" s="8"/>
      <c r="B173" s="9"/>
      <c r="C173" s="9"/>
      <c r="D173" s="10"/>
      <c r="E173" s="10"/>
      <c r="F173" s="12" t="str">
        <f t="array" ref="F173">IF($B173="","",IFERROR(INDEX(Accounts!$B$2:$B$100,MATCH($B173,Accounts!$A$2:$A$100,0)),""))</f>
        <v/>
      </c>
      <c r="G173" s="12" t="str">
        <f t="array" ref="G173">IF($B173="","",IFERROR(INDEX(Accounts!$C$2:$C$100,MATCH($B173,Accounts!$A$2:$A$100,0)),""))</f>
        <v/>
      </c>
      <c r="H173" s="12" t="str">
        <f t="shared" si="0"/>
        <v/>
      </c>
      <c r="I173" s="15" t="str">
        <f t="shared" si="1"/>
        <v/>
      </c>
      <c r="J173" s="16" t="str">
        <f t="shared" si="2"/>
        <v/>
      </c>
    </row>
    <row r="174" customHeight="1" spans="1:10">
      <c r="A174" s="8"/>
      <c r="B174" s="9"/>
      <c r="C174" s="9"/>
      <c r="D174" s="10"/>
      <c r="E174" s="10"/>
      <c r="F174" s="12" t="str">
        <f t="array" ref="F174">IF($B174="","",IFERROR(INDEX(Accounts!$B$2:$B$100,MATCH($B174,Accounts!$A$2:$A$100,0)),""))</f>
        <v/>
      </c>
      <c r="G174" s="12" t="str">
        <f t="array" ref="G174">IF($B174="","",IFERROR(INDEX(Accounts!$C$2:$C$100,MATCH($B174,Accounts!$A$2:$A$100,0)),""))</f>
        <v/>
      </c>
      <c r="H174" s="12" t="str">
        <f t="shared" si="0"/>
        <v/>
      </c>
      <c r="I174" s="15" t="str">
        <f t="shared" si="1"/>
        <v/>
      </c>
      <c r="J174" s="16" t="str">
        <f t="shared" si="2"/>
        <v/>
      </c>
    </row>
    <row r="175" customHeight="1" spans="1:10">
      <c r="A175" s="8"/>
      <c r="B175" s="9"/>
      <c r="C175" s="9"/>
      <c r="D175" s="10"/>
      <c r="E175" s="10"/>
      <c r="F175" s="12" t="str">
        <f t="array" ref="F175">IF($B175="","",IFERROR(INDEX(Accounts!$B$2:$B$100,MATCH($B175,Accounts!$A$2:$A$100,0)),""))</f>
        <v/>
      </c>
      <c r="G175" s="12" t="str">
        <f t="array" ref="G175">IF($B175="","",IFERROR(INDEX(Accounts!$C$2:$C$100,MATCH($B175,Accounts!$A$2:$A$100,0)),""))</f>
        <v/>
      </c>
      <c r="H175" s="12" t="str">
        <f t="shared" si="0"/>
        <v/>
      </c>
      <c r="I175" s="15" t="str">
        <f t="shared" si="1"/>
        <v/>
      </c>
      <c r="J175" s="16" t="str">
        <f t="shared" si="2"/>
        <v/>
      </c>
    </row>
    <row r="176" customHeight="1" spans="1:10">
      <c r="A176" s="8"/>
      <c r="B176" s="9"/>
      <c r="C176" s="9"/>
      <c r="D176" s="10"/>
      <c r="E176" s="10"/>
      <c r="F176" s="12" t="str">
        <f t="array" ref="F176">IF($B176="","",IFERROR(INDEX(Accounts!$B$2:$B$100,MATCH($B176,Accounts!$A$2:$A$100,0)),""))</f>
        <v/>
      </c>
      <c r="G176" s="12" t="str">
        <f t="array" ref="G176">IF($B176="","",IFERROR(INDEX(Accounts!$C$2:$C$100,MATCH($B176,Accounts!$A$2:$A$100,0)),""))</f>
        <v/>
      </c>
      <c r="H176" s="12" t="str">
        <f t="shared" si="0"/>
        <v/>
      </c>
      <c r="I176" s="15" t="str">
        <f t="shared" si="1"/>
        <v/>
      </c>
      <c r="J176" s="16" t="str">
        <f t="shared" si="2"/>
        <v/>
      </c>
    </row>
    <row r="177" customHeight="1" spans="1:10">
      <c r="A177" s="8"/>
      <c r="B177" s="9"/>
      <c r="C177" s="9"/>
      <c r="D177" s="10"/>
      <c r="E177" s="10"/>
      <c r="F177" s="12" t="str">
        <f t="array" ref="F177">IF($B177="","",IFERROR(INDEX(Accounts!$B$2:$B$100,MATCH($B177,Accounts!$A$2:$A$100,0)),""))</f>
        <v/>
      </c>
      <c r="G177" s="12" t="str">
        <f t="array" ref="G177">IF($B177="","",IFERROR(INDEX(Accounts!$C$2:$C$100,MATCH($B177,Accounts!$A$2:$A$100,0)),""))</f>
        <v/>
      </c>
      <c r="H177" s="12" t="str">
        <f t="shared" si="0"/>
        <v/>
      </c>
      <c r="I177" s="15" t="str">
        <f t="shared" si="1"/>
        <v/>
      </c>
      <c r="J177" s="16" t="str">
        <f t="shared" si="2"/>
        <v/>
      </c>
    </row>
    <row r="178" customHeight="1" spans="1:10">
      <c r="A178" s="8"/>
      <c r="B178" s="9"/>
      <c r="C178" s="9"/>
      <c r="D178" s="10"/>
      <c r="E178" s="10"/>
      <c r="F178" s="12" t="str">
        <f t="array" ref="F178">IF($B178="","",IFERROR(INDEX(Accounts!$B$2:$B$100,MATCH($B178,Accounts!$A$2:$A$100,0)),""))</f>
        <v/>
      </c>
      <c r="G178" s="12" t="str">
        <f t="array" ref="G178">IF($B178="","",IFERROR(INDEX(Accounts!$C$2:$C$100,MATCH($B178,Accounts!$A$2:$A$100,0)),""))</f>
        <v/>
      </c>
      <c r="H178" s="12" t="str">
        <f t="shared" si="0"/>
        <v/>
      </c>
      <c r="I178" s="15" t="str">
        <f t="shared" si="1"/>
        <v/>
      </c>
      <c r="J178" s="16" t="str">
        <f t="shared" si="2"/>
        <v/>
      </c>
    </row>
    <row r="179" customHeight="1" spans="1:10">
      <c r="A179" s="8"/>
      <c r="B179" s="9"/>
      <c r="C179" s="9"/>
      <c r="D179" s="10"/>
      <c r="E179" s="10"/>
      <c r="F179" s="12" t="str">
        <f t="array" ref="F179">IF($B179="","",IFERROR(INDEX(Accounts!$B$2:$B$100,MATCH($B179,Accounts!$A$2:$A$100,0)),""))</f>
        <v/>
      </c>
      <c r="G179" s="12" t="str">
        <f t="array" ref="G179">IF($B179="","",IFERROR(INDEX(Accounts!$C$2:$C$100,MATCH($B179,Accounts!$A$2:$A$100,0)),""))</f>
        <v/>
      </c>
      <c r="H179" s="12" t="str">
        <f t="shared" si="0"/>
        <v/>
      </c>
      <c r="I179" s="15" t="str">
        <f t="shared" si="1"/>
        <v/>
      </c>
      <c r="J179" s="16" t="str">
        <f t="shared" si="2"/>
        <v/>
      </c>
    </row>
    <row r="180" customHeight="1" spans="1:10">
      <c r="A180" s="8"/>
      <c r="B180" s="9"/>
      <c r="C180" s="9"/>
      <c r="D180" s="10"/>
      <c r="E180" s="10"/>
      <c r="F180" s="12" t="str">
        <f t="array" ref="F180">IF($B180="","",IFERROR(INDEX(Accounts!$B$2:$B$100,MATCH($B180,Accounts!$A$2:$A$100,0)),""))</f>
        <v/>
      </c>
      <c r="G180" s="12" t="str">
        <f t="array" ref="G180">IF($B180="","",IFERROR(INDEX(Accounts!$C$2:$C$100,MATCH($B180,Accounts!$A$2:$A$100,0)),""))</f>
        <v/>
      </c>
      <c r="H180" s="12" t="str">
        <f t="shared" si="0"/>
        <v/>
      </c>
      <c r="I180" s="15" t="str">
        <f t="shared" si="1"/>
        <v/>
      </c>
      <c r="J180" s="16" t="str">
        <f t="shared" si="2"/>
        <v/>
      </c>
    </row>
    <row r="181" customHeight="1" spans="1:10">
      <c r="A181" s="8"/>
      <c r="B181" s="9"/>
      <c r="C181" s="9"/>
      <c r="D181" s="10"/>
      <c r="E181" s="10"/>
      <c r="F181" s="12" t="str">
        <f t="array" ref="F181">IF($B181="","",IFERROR(INDEX(Accounts!$B$2:$B$100,MATCH($B181,Accounts!$A$2:$A$100,0)),""))</f>
        <v/>
      </c>
      <c r="G181" s="12" t="str">
        <f t="array" ref="G181">IF($B181="","",IFERROR(INDEX(Accounts!$C$2:$C$100,MATCH($B181,Accounts!$A$2:$A$100,0)),""))</f>
        <v/>
      </c>
      <c r="H181" s="12" t="str">
        <f t="shared" si="0"/>
        <v/>
      </c>
      <c r="I181" s="15" t="str">
        <f t="shared" si="1"/>
        <v/>
      </c>
      <c r="J181" s="16" t="str">
        <f t="shared" si="2"/>
        <v/>
      </c>
    </row>
    <row r="182" customHeight="1" spans="1:10">
      <c r="A182" s="8"/>
      <c r="B182" s="9"/>
      <c r="C182" s="9"/>
      <c r="D182" s="10"/>
      <c r="E182" s="10"/>
      <c r="F182" s="12" t="str">
        <f t="array" ref="F182">IF($B182="","",IFERROR(INDEX(Accounts!$B$2:$B$100,MATCH($B182,Accounts!$A$2:$A$100,0)),""))</f>
        <v/>
      </c>
      <c r="G182" s="12" t="str">
        <f t="array" ref="G182">IF($B182="","",IFERROR(INDEX(Accounts!$C$2:$C$100,MATCH($B182,Accounts!$A$2:$A$100,0)),""))</f>
        <v/>
      </c>
      <c r="H182" s="12" t="str">
        <f t="shared" si="0"/>
        <v/>
      </c>
      <c r="I182" s="15" t="str">
        <f t="shared" si="1"/>
        <v/>
      </c>
      <c r="J182" s="16" t="str">
        <f t="shared" si="2"/>
        <v/>
      </c>
    </row>
    <row r="183" customHeight="1" spans="1:10">
      <c r="A183" s="8"/>
      <c r="B183" s="9"/>
      <c r="C183" s="9"/>
      <c r="D183" s="10"/>
      <c r="E183" s="10"/>
      <c r="F183" s="12" t="str">
        <f t="array" ref="F183">IF($B183="","",IFERROR(INDEX(Accounts!$B$2:$B$100,MATCH($B183,Accounts!$A$2:$A$100,0)),""))</f>
        <v/>
      </c>
      <c r="G183" s="12" t="str">
        <f t="array" ref="G183">IF($B183="","",IFERROR(INDEX(Accounts!$C$2:$C$100,MATCH($B183,Accounts!$A$2:$A$100,0)),""))</f>
        <v/>
      </c>
      <c r="H183" s="12" t="str">
        <f t="shared" si="0"/>
        <v/>
      </c>
      <c r="I183" s="15" t="str">
        <f t="shared" si="1"/>
        <v/>
      </c>
      <c r="J183" s="16" t="str">
        <f t="shared" si="2"/>
        <v/>
      </c>
    </row>
    <row r="184" customHeight="1" spans="1:10">
      <c r="A184" s="8"/>
      <c r="B184" s="9"/>
      <c r="C184" s="9"/>
      <c r="D184" s="10"/>
      <c r="E184" s="10"/>
      <c r="F184" s="12" t="str">
        <f t="array" ref="F184">IF($B184="","",IFERROR(INDEX(Accounts!$B$2:$B$100,MATCH($B184,Accounts!$A$2:$A$100,0)),""))</f>
        <v/>
      </c>
      <c r="G184" s="12" t="str">
        <f t="array" ref="G184">IF($B184="","",IFERROR(INDEX(Accounts!$C$2:$C$100,MATCH($B184,Accounts!$A$2:$A$100,0)),""))</f>
        <v/>
      </c>
      <c r="H184" s="12" t="str">
        <f t="shared" si="0"/>
        <v/>
      </c>
      <c r="I184" s="15" t="str">
        <f t="shared" si="1"/>
        <v/>
      </c>
      <c r="J184" s="16" t="str">
        <f t="shared" si="2"/>
        <v/>
      </c>
    </row>
    <row r="185" customHeight="1" spans="1:10">
      <c r="A185" s="8"/>
      <c r="B185" s="9"/>
      <c r="C185" s="9"/>
      <c r="D185" s="10"/>
      <c r="E185" s="10"/>
      <c r="F185" s="12" t="str">
        <f t="array" ref="F185">IF($B185="","",IFERROR(INDEX(Accounts!$B$2:$B$100,MATCH($B185,Accounts!$A$2:$A$100,0)),""))</f>
        <v/>
      </c>
      <c r="G185" s="12" t="str">
        <f t="array" ref="G185">IF($B185="","",IFERROR(INDEX(Accounts!$C$2:$C$100,MATCH($B185,Accounts!$A$2:$A$100,0)),""))</f>
        <v/>
      </c>
      <c r="H185" s="12" t="str">
        <f t="shared" si="0"/>
        <v/>
      </c>
      <c r="I185" s="15" t="str">
        <f t="shared" si="1"/>
        <v/>
      </c>
      <c r="J185" s="16" t="str">
        <f t="shared" si="2"/>
        <v/>
      </c>
    </row>
    <row r="186" customHeight="1" spans="1:10">
      <c r="A186" s="8"/>
      <c r="B186" s="9"/>
      <c r="C186" s="9"/>
      <c r="D186" s="10"/>
      <c r="E186" s="10"/>
      <c r="F186" s="12" t="str">
        <f t="array" ref="F186">IF($B186="","",IFERROR(INDEX(Accounts!$B$2:$B$100,MATCH($B186,Accounts!$A$2:$A$100,0)),""))</f>
        <v/>
      </c>
      <c r="G186" s="12" t="str">
        <f t="array" ref="G186">IF($B186="","",IFERROR(INDEX(Accounts!$C$2:$C$100,MATCH($B186,Accounts!$A$2:$A$100,0)),""))</f>
        <v/>
      </c>
      <c r="H186" s="12" t="str">
        <f t="shared" si="0"/>
        <v/>
      </c>
      <c r="I186" s="15" t="str">
        <f t="shared" si="1"/>
        <v/>
      </c>
      <c r="J186" s="16" t="str">
        <f t="shared" si="2"/>
        <v/>
      </c>
    </row>
    <row r="187" customHeight="1" spans="1:10">
      <c r="A187" s="8"/>
      <c r="B187" s="9"/>
      <c r="C187" s="9"/>
      <c r="D187" s="10"/>
      <c r="E187" s="10"/>
      <c r="F187" s="12" t="str">
        <f t="array" ref="F187">IF($B187="","",IFERROR(INDEX(Accounts!$B$2:$B$100,MATCH($B187,Accounts!$A$2:$A$100,0)),""))</f>
        <v/>
      </c>
      <c r="G187" s="12" t="str">
        <f t="array" ref="G187">IF($B187="","",IFERROR(INDEX(Accounts!$C$2:$C$100,MATCH($B187,Accounts!$A$2:$A$100,0)),""))</f>
        <v/>
      </c>
      <c r="H187" s="12" t="str">
        <f t="shared" si="0"/>
        <v/>
      </c>
      <c r="I187" s="15" t="str">
        <f t="shared" si="1"/>
        <v/>
      </c>
      <c r="J187" s="16" t="str">
        <f t="shared" si="2"/>
        <v/>
      </c>
    </row>
    <row r="188" customHeight="1" spans="1:10">
      <c r="A188" s="8"/>
      <c r="B188" s="9"/>
      <c r="C188" s="9"/>
      <c r="D188" s="10"/>
      <c r="E188" s="10"/>
      <c r="F188" s="12" t="str">
        <f t="array" ref="F188">IF($B188="","",IFERROR(INDEX(Accounts!$B$2:$B$100,MATCH($B188,Accounts!$A$2:$A$100,0)),""))</f>
        <v/>
      </c>
      <c r="G188" s="12" t="str">
        <f t="array" ref="G188">IF($B188="","",IFERROR(INDEX(Accounts!$C$2:$C$100,MATCH($B188,Accounts!$A$2:$A$100,0)),""))</f>
        <v/>
      </c>
      <c r="H188" s="12" t="str">
        <f t="shared" si="0"/>
        <v/>
      </c>
      <c r="I188" s="15" t="str">
        <f t="shared" si="1"/>
        <v/>
      </c>
      <c r="J188" s="16" t="str">
        <f t="shared" si="2"/>
        <v/>
      </c>
    </row>
    <row r="189" customHeight="1" spans="1:10">
      <c r="A189" s="8"/>
      <c r="B189" s="9"/>
      <c r="C189" s="9"/>
      <c r="D189" s="10"/>
      <c r="E189" s="10"/>
      <c r="F189" s="12" t="str">
        <f t="array" ref="F189">IF($B189="","",IFERROR(INDEX(Accounts!$B$2:$B$100,MATCH($B189,Accounts!$A$2:$A$100,0)),""))</f>
        <v/>
      </c>
      <c r="G189" s="12" t="str">
        <f t="array" ref="G189">IF($B189="","",IFERROR(INDEX(Accounts!$C$2:$C$100,MATCH($B189,Accounts!$A$2:$A$100,0)),""))</f>
        <v/>
      </c>
      <c r="H189" s="12" t="str">
        <f t="shared" si="0"/>
        <v/>
      </c>
      <c r="I189" s="15" t="str">
        <f t="shared" si="1"/>
        <v/>
      </c>
      <c r="J189" s="16" t="str">
        <f t="shared" si="2"/>
        <v/>
      </c>
    </row>
    <row r="190" customHeight="1" spans="1:10">
      <c r="A190" s="8"/>
      <c r="B190" s="9"/>
      <c r="C190" s="9"/>
      <c r="D190" s="10"/>
      <c r="E190" s="10"/>
      <c r="F190" s="12" t="str">
        <f t="array" ref="F190">IF($B190="","",IFERROR(INDEX(Accounts!$B$2:$B$100,MATCH($B190,Accounts!$A$2:$A$100,0)),""))</f>
        <v/>
      </c>
      <c r="G190" s="12" t="str">
        <f t="array" ref="G190">IF($B190="","",IFERROR(INDEX(Accounts!$C$2:$C$100,MATCH($B190,Accounts!$A$2:$A$100,0)),""))</f>
        <v/>
      </c>
      <c r="H190" s="12" t="str">
        <f t="shared" si="0"/>
        <v/>
      </c>
      <c r="I190" s="15" t="str">
        <f t="shared" si="1"/>
        <v/>
      </c>
      <c r="J190" s="16" t="str">
        <f t="shared" si="2"/>
        <v/>
      </c>
    </row>
    <row r="191" customHeight="1" spans="1:10">
      <c r="A191" s="8"/>
      <c r="B191" s="9"/>
      <c r="C191" s="9"/>
      <c r="D191" s="10"/>
      <c r="E191" s="10"/>
      <c r="F191" s="12" t="str">
        <f t="array" ref="F191">IF($B191="","",IFERROR(INDEX(Accounts!$B$2:$B$100,MATCH($B191,Accounts!$A$2:$A$100,0)),""))</f>
        <v/>
      </c>
      <c r="G191" s="12" t="str">
        <f t="array" ref="G191">IF($B191="","",IFERROR(INDEX(Accounts!$C$2:$C$100,MATCH($B191,Accounts!$A$2:$A$100,0)),""))</f>
        <v/>
      </c>
      <c r="H191" s="12" t="str">
        <f t="shared" si="0"/>
        <v/>
      </c>
      <c r="I191" s="15" t="str">
        <f t="shared" si="1"/>
        <v/>
      </c>
      <c r="J191" s="16" t="str">
        <f t="shared" si="2"/>
        <v/>
      </c>
    </row>
    <row r="192" customHeight="1" spans="1:10">
      <c r="A192" s="8"/>
      <c r="B192" s="9"/>
      <c r="C192" s="9"/>
      <c r="D192" s="10"/>
      <c r="E192" s="10"/>
      <c r="F192" s="12" t="str">
        <f t="array" ref="F192">IF($B192="","",IFERROR(INDEX(Accounts!$B$2:$B$100,MATCH($B192,Accounts!$A$2:$A$100,0)),""))</f>
        <v/>
      </c>
      <c r="G192" s="12" t="str">
        <f t="array" ref="G192">IF($B192="","",IFERROR(INDEX(Accounts!$C$2:$C$100,MATCH($B192,Accounts!$A$2:$A$100,0)),""))</f>
        <v/>
      </c>
      <c r="H192" s="12" t="str">
        <f t="shared" si="0"/>
        <v/>
      </c>
      <c r="I192" s="15" t="str">
        <f t="shared" si="1"/>
        <v/>
      </c>
      <c r="J192" s="16" t="str">
        <f t="shared" si="2"/>
        <v/>
      </c>
    </row>
    <row r="193" customHeight="1" spans="1:10">
      <c r="A193" s="8"/>
      <c r="B193" s="9"/>
      <c r="C193" s="9"/>
      <c r="D193" s="10"/>
      <c r="E193" s="10"/>
      <c r="F193" s="12" t="str">
        <f t="array" ref="F193">IF($B193="","",IFERROR(INDEX(Accounts!$B$2:$B$100,MATCH($B193,Accounts!$A$2:$A$100,0)),""))</f>
        <v/>
      </c>
      <c r="G193" s="12" t="str">
        <f t="array" ref="G193">IF($B193="","",IFERROR(INDEX(Accounts!$C$2:$C$100,MATCH($B193,Accounts!$A$2:$A$100,0)),""))</f>
        <v/>
      </c>
      <c r="H193" s="12" t="str">
        <f t="shared" si="0"/>
        <v/>
      </c>
      <c r="I193" s="15" t="str">
        <f t="shared" si="1"/>
        <v/>
      </c>
      <c r="J193" s="16" t="str">
        <f t="shared" si="2"/>
        <v/>
      </c>
    </row>
    <row r="194" customHeight="1" spans="1:10">
      <c r="A194" s="8"/>
      <c r="B194" s="9"/>
      <c r="C194" s="9"/>
      <c r="D194" s="10"/>
      <c r="E194" s="10"/>
      <c r="F194" s="12" t="str">
        <f t="array" ref="F194">IF($B194="","",IFERROR(INDEX(Accounts!$B$2:$B$100,MATCH($B194,Accounts!$A$2:$A$100,0)),""))</f>
        <v/>
      </c>
      <c r="G194" s="12" t="str">
        <f t="array" ref="G194">IF($B194="","",IFERROR(INDEX(Accounts!$C$2:$C$100,MATCH($B194,Accounts!$A$2:$A$100,0)),""))</f>
        <v/>
      </c>
      <c r="H194" s="12" t="str">
        <f t="shared" si="0"/>
        <v/>
      </c>
      <c r="I194" s="15" t="str">
        <f t="shared" si="1"/>
        <v/>
      </c>
      <c r="J194" s="16" t="str">
        <f t="shared" si="2"/>
        <v/>
      </c>
    </row>
    <row r="195" customHeight="1" spans="1:10">
      <c r="A195" s="8"/>
      <c r="B195" s="9"/>
      <c r="C195" s="9"/>
      <c r="D195" s="10"/>
      <c r="E195" s="10"/>
      <c r="F195" s="12" t="str">
        <f t="array" ref="F195">IF($B195="","",IFERROR(INDEX(Accounts!$B$2:$B$100,MATCH($B195,Accounts!$A$2:$A$100,0)),""))</f>
        <v/>
      </c>
      <c r="G195" s="12" t="str">
        <f t="array" ref="G195">IF($B195="","",IFERROR(INDEX(Accounts!$C$2:$C$100,MATCH($B195,Accounts!$A$2:$A$100,0)),""))</f>
        <v/>
      </c>
      <c r="H195" s="12" t="str">
        <f t="shared" si="0"/>
        <v/>
      </c>
      <c r="I195" s="15" t="str">
        <f t="shared" si="1"/>
        <v/>
      </c>
      <c r="J195" s="16" t="str">
        <f t="shared" si="2"/>
        <v/>
      </c>
    </row>
    <row r="196" customHeight="1" spans="1:10">
      <c r="A196" s="8"/>
      <c r="B196" s="9"/>
      <c r="C196" s="9"/>
      <c r="D196" s="10"/>
      <c r="E196" s="10"/>
      <c r="F196" s="12" t="str">
        <f t="array" ref="F196">IF($B196="","",IFERROR(INDEX(Accounts!$B$2:$B$100,MATCH($B196,Accounts!$A$2:$A$100,0)),""))</f>
        <v/>
      </c>
      <c r="G196" s="12" t="str">
        <f t="array" ref="G196">IF($B196="","",IFERROR(INDEX(Accounts!$C$2:$C$100,MATCH($B196,Accounts!$A$2:$A$100,0)),""))</f>
        <v/>
      </c>
      <c r="H196" s="12" t="str">
        <f t="shared" si="0"/>
        <v/>
      </c>
      <c r="I196" s="15" t="str">
        <f t="shared" si="1"/>
        <v/>
      </c>
      <c r="J196" s="16" t="str">
        <f t="shared" si="2"/>
        <v/>
      </c>
    </row>
    <row r="197" customHeight="1" spans="1:10">
      <c r="A197" s="8"/>
      <c r="B197" s="9"/>
      <c r="C197" s="9"/>
      <c r="D197" s="10"/>
      <c r="E197" s="10"/>
      <c r="F197" s="12" t="str">
        <f t="array" ref="F197">IF($B197="","",IFERROR(INDEX(Accounts!$B$2:$B$100,MATCH($B197,Accounts!$A$2:$A$100,0)),""))</f>
        <v/>
      </c>
      <c r="G197" s="12" t="str">
        <f t="array" ref="G197">IF($B197="","",IFERROR(INDEX(Accounts!$C$2:$C$100,MATCH($B197,Accounts!$A$2:$A$100,0)),""))</f>
        <v/>
      </c>
      <c r="H197" s="12" t="str">
        <f t="shared" si="0"/>
        <v/>
      </c>
      <c r="I197" s="15" t="str">
        <f t="shared" si="1"/>
        <v/>
      </c>
      <c r="J197" s="16" t="str">
        <f t="shared" si="2"/>
        <v/>
      </c>
    </row>
    <row r="198" customHeight="1" spans="1:10">
      <c r="A198" s="8"/>
      <c r="B198" s="9"/>
      <c r="C198" s="9"/>
      <c r="D198" s="10"/>
      <c r="E198" s="10"/>
      <c r="F198" s="12" t="str">
        <f t="array" ref="F198">IF($B198="","",IFERROR(INDEX(Accounts!$B$2:$B$100,MATCH($B198,Accounts!$A$2:$A$100,0)),""))</f>
        <v/>
      </c>
      <c r="G198" s="12" t="str">
        <f t="array" ref="G198">IF($B198="","",IFERROR(INDEX(Accounts!$C$2:$C$100,MATCH($B198,Accounts!$A$2:$A$100,0)),""))</f>
        <v/>
      </c>
      <c r="H198" s="12" t="str">
        <f t="shared" si="0"/>
        <v/>
      </c>
      <c r="I198" s="15" t="str">
        <f t="shared" si="1"/>
        <v/>
      </c>
      <c r="J198" s="16" t="str">
        <f t="shared" si="2"/>
        <v/>
      </c>
    </row>
    <row r="199" customHeight="1" spans="1:10">
      <c r="A199" s="8"/>
      <c r="B199" s="9"/>
      <c r="C199" s="9"/>
      <c r="D199" s="10"/>
      <c r="E199" s="10"/>
      <c r="F199" s="12" t="str">
        <f t="array" ref="F199">IF($B199="","",IFERROR(INDEX(Accounts!$B$2:$B$100,MATCH($B199,Accounts!$A$2:$A$100,0)),""))</f>
        <v/>
      </c>
      <c r="G199" s="12" t="str">
        <f t="array" ref="G199">IF($B199="","",IFERROR(INDEX(Accounts!$C$2:$C$100,MATCH($B199,Accounts!$A$2:$A$100,0)),""))</f>
        <v/>
      </c>
      <c r="H199" s="12" t="str">
        <f t="shared" si="0"/>
        <v/>
      </c>
      <c r="I199" s="15" t="str">
        <f t="shared" si="1"/>
        <v/>
      </c>
      <c r="J199" s="16" t="str">
        <f t="shared" si="2"/>
        <v/>
      </c>
    </row>
    <row r="200" customHeight="1" spans="1:10">
      <c r="A200" s="8"/>
      <c r="B200" s="9"/>
      <c r="C200" s="9"/>
      <c r="D200" s="10"/>
      <c r="E200" s="10"/>
      <c r="F200" s="12" t="str">
        <f t="array" ref="F200">IF($B200="","",IFERROR(INDEX(Accounts!$B$2:$B$100,MATCH($B200,Accounts!$A$2:$A$100,0)),""))</f>
        <v/>
      </c>
      <c r="G200" s="12" t="str">
        <f t="array" ref="G200">IF($B200="","",IFERROR(INDEX(Accounts!$C$2:$C$100,MATCH($B200,Accounts!$A$2:$A$100,0)),""))</f>
        <v/>
      </c>
      <c r="H200" s="12" t="str">
        <f t="shared" si="0"/>
        <v/>
      </c>
      <c r="I200" s="15" t="str">
        <f t="shared" si="1"/>
        <v/>
      </c>
      <c r="J200" s="16" t="str">
        <f t="shared" si="2"/>
        <v/>
      </c>
    </row>
    <row r="201" customHeight="1" spans="1:10">
      <c r="A201" s="8"/>
      <c r="B201" s="9"/>
      <c r="C201" s="9"/>
      <c r="D201" s="10"/>
      <c r="E201" s="10"/>
      <c r="F201" s="12" t="str">
        <f t="array" ref="F201">IF($B201="","",IFERROR(INDEX(Accounts!$B$2:$B$100,MATCH($B201,Accounts!$A$2:$A$100,0)),""))</f>
        <v/>
      </c>
      <c r="G201" s="12" t="str">
        <f t="array" ref="G201">IF($B201="","",IFERROR(INDEX(Accounts!$C$2:$C$100,MATCH($B201,Accounts!$A$2:$A$100,0)),""))</f>
        <v/>
      </c>
      <c r="H201" s="12" t="str">
        <f t="shared" si="0"/>
        <v/>
      </c>
      <c r="I201" s="15" t="str">
        <f t="shared" si="1"/>
        <v/>
      </c>
      <c r="J201" s="16" t="str">
        <f t="shared" si="2"/>
        <v/>
      </c>
    </row>
    <row r="202" customHeight="1" spans="1:10">
      <c r="A202" s="8"/>
      <c r="B202" s="9"/>
      <c r="C202" s="9"/>
      <c r="D202" s="10"/>
      <c r="E202" s="10"/>
      <c r="F202" s="12" t="str">
        <f t="array" ref="F202">IF($B202="","",IFERROR(INDEX(Accounts!$B$2:$B$100,MATCH($B202,Accounts!$A$2:$A$100,0)),""))</f>
        <v/>
      </c>
      <c r="G202" s="12" t="str">
        <f t="array" ref="G202">IF($B202="","",IFERROR(INDEX(Accounts!$C$2:$C$100,MATCH($B202,Accounts!$A$2:$A$100,0)),""))</f>
        <v/>
      </c>
      <c r="H202" s="12" t="str">
        <f t="shared" si="0"/>
        <v/>
      </c>
      <c r="I202" s="15" t="str">
        <f t="shared" si="1"/>
        <v/>
      </c>
      <c r="J202" s="16" t="str">
        <f t="shared" si="2"/>
        <v/>
      </c>
    </row>
    <row r="203" customHeight="1" spans="1:10">
      <c r="A203" s="8"/>
      <c r="B203" s="9"/>
      <c r="C203" s="9"/>
      <c r="D203" s="10"/>
      <c r="E203" s="10"/>
      <c r="F203" s="12" t="str">
        <f t="array" ref="F203">IF($B203="","",IFERROR(INDEX(Accounts!$B$2:$B$100,MATCH($B203,Accounts!$A$2:$A$100,0)),""))</f>
        <v/>
      </c>
      <c r="G203" s="12" t="str">
        <f t="array" ref="G203">IF($B203="","",IFERROR(INDEX(Accounts!$C$2:$C$100,MATCH($B203,Accounts!$A$2:$A$100,0)),""))</f>
        <v/>
      </c>
      <c r="H203" s="12" t="str">
        <f t="shared" si="0"/>
        <v/>
      </c>
      <c r="I203" s="15" t="str">
        <f t="shared" si="1"/>
        <v/>
      </c>
      <c r="J203" s="16" t="str">
        <f t="shared" si="2"/>
        <v/>
      </c>
    </row>
    <row r="204" customHeight="1" spans="1:10">
      <c r="A204" s="8"/>
      <c r="B204" s="9"/>
      <c r="C204" s="9"/>
      <c r="D204" s="10"/>
      <c r="E204" s="10"/>
      <c r="F204" s="12" t="str">
        <f t="array" ref="F204">IF($B204="","",IFERROR(INDEX(Accounts!$B$2:$B$100,MATCH($B204,Accounts!$A$2:$A$100,0)),""))</f>
        <v/>
      </c>
      <c r="G204" s="12" t="str">
        <f t="array" ref="G204">IF($B204="","",IFERROR(INDEX(Accounts!$C$2:$C$100,MATCH($B204,Accounts!$A$2:$A$100,0)),""))</f>
        <v/>
      </c>
      <c r="H204" s="12" t="str">
        <f t="shared" si="0"/>
        <v/>
      </c>
      <c r="I204" s="15" t="str">
        <f t="shared" si="1"/>
        <v/>
      </c>
      <c r="J204" s="16" t="str">
        <f t="shared" si="2"/>
        <v/>
      </c>
    </row>
    <row r="205" customHeight="1" spans="1:10">
      <c r="A205" s="8"/>
      <c r="B205" s="9"/>
      <c r="C205" s="9"/>
      <c r="D205" s="10"/>
      <c r="E205" s="10"/>
      <c r="F205" s="12" t="str">
        <f t="array" ref="F205">IF($B205="","",IFERROR(INDEX(Accounts!$B$2:$B$100,MATCH($B205,Accounts!$A$2:$A$100,0)),""))</f>
        <v/>
      </c>
      <c r="G205" s="12" t="str">
        <f t="array" ref="G205">IF($B205="","",IFERROR(INDEX(Accounts!$C$2:$C$100,MATCH($B205,Accounts!$A$2:$A$100,0)),""))</f>
        <v/>
      </c>
      <c r="H205" s="12" t="str">
        <f t="shared" si="0"/>
        <v/>
      </c>
      <c r="I205" s="15" t="str">
        <f t="shared" si="1"/>
        <v/>
      </c>
      <c r="J205" s="16" t="str">
        <f t="shared" si="2"/>
        <v/>
      </c>
    </row>
    <row r="206" customHeight="1" spans="1:10">
      <c r="A206" s="8"/>
      <c r="B206" s="9"/>
      <c r="C206" s="9"/>
      <c r="D206" s="10"/>
      <c r="E206" s="10"/>
      <c r="F206" s="12" t="str">
        <f t="array" ref="F206">IF($B206="","",IFERROR(INDEX(Accounts!$B$2:$B$100,MATCH($B206,Accounts!$A$2:$A$100,0)),""))</f>
        <v/>
      </c>
      <c r="G206" s="12" t="str">
        <f t="array" ref="G206">IF($B206="","",IFERROR(INDEX(Accounts!$C$2:$C$100,MATCH($B206,Accounts!$A$2:$A$100,0)),""))</f>
        <v/>
      </c>
      <c r="H206" s="12" t="str">
        <f t="shared" si="0"/>
        <v/>
      </c>
      <c r="I206" s="15" t="str">
        <f t="shared" si="1"/>
        <v/>
      </c>
      <c r="J206" s="16" t="str">
        <f t="shared" si="2"/>
        <v/>
      </c>
    </row>
    <row r="207" customHeight="1" spans="1:10">
      <c r="A207" s="8"/>
      <c r="B207" s="9"/>
      <c r="C207" s="9"/>
      <c r="D207" s="10"/>
      <c r="E207" s="10"/>
      <c r="F207" s="12" t="str">
        <f t="array" ref="F207">IF($B207="","",IFERROR(INDEX(Accounts!$B$2:$B$100,MATCH($B207,Accounts!$A$2:$A$100,0)),""))</f>
        <v/>
      </c>
      <c r="G207" s="12" t="str">
        <f t="array" ref="G207">IF($B207="","",IFERROR(INDEX(Accounts!$C$2:$C$100,MATCH($B207,Accounts!$A$2:$A$100,0)),""))</f>
        <v/>
      </c>
      <c r="H207" s="12" t="str">
        <f t="shared" si="0"/>
        <v/>
      </c>
      <c r="I207" s="15" t="str">
        <f t="shared" si="1"/>
        <v/>
      </c>
      <c r="J207" s="16" t="str">
        <f t="shared" si="2"/>
        <v/>
      </c>
    </row>
    <row r="208" customHeight="1" spans="1:10">
      <c r="A208" s="8"/>
      <c r="B208" s="9"/>
      <c r="C208" s="9"/>
      <c r="D208" s="10"/>
      <c r="E208" s="10"/>
      <c r="F208" s="12" t="str">
        <f t="array" ref="F208">IF($B208="","",IFERROR(INDEX(Accounts!$B$2:$B$100,MATCH($B208,Accounts!$A$2:$A$100,0)),""))</f>
        <v/>
      </c>
      <c r="G208" s="12" t="str">
        <f t="array" ref="G208">IF($B208="","",IFERROR(INDEX(Accounts!$C$2:$C$100,MATCH($B208,Accounts!$A$2:$A$100,0)),""))</f>
        <v/>
      </c>
      <c r="H208" s="12" t="str">
        <f t="shared" si="0"/>
        <v/>
      </c>
      <c r="I208" s="15" t="str">
        <f t="shared" si="1"/>
        <v/>
      </c>
      <c r="J208" s="16" t="str">
        <f t="shared" si="2"/>
        <v/>
      </c>
    </row>
    <row r="209" customHeight="1" spans="1:10">
      <c r="A209" s="8"/>
      <c r="B209" s="9"/>
      <c r="C209" s="9"/>
      <c r="D209" s="10"/>
      <c r="E209" s="10"/>
      <c r="F209" s="12" t="str">
        <f t="array" ref="F209">IF($B209="","",IFERROR(INDEX(Accounts!$B$2:$B$100,MATCH($B209,Accounts!$A$2:$A$100,0)),""))</f>
        <v/>
      </c>
      <c r="G209" s="12" t="str">
        <f t="array" ref="G209">IF($B209="","",IFERROR(INDEX(Accounts!$C$2:$C$100,MATCH($B209,Accounts!$A$2:$A$100,0)),""))</f>
        <v/>
      </c>
      <c r="H209" s="12" t="str">
        <f t="shared" si="0"/>
        <v/>
      </c>
      <c r="I209" s="15" t="str">
        <f t="shared" si="1"/>
        <v/>
      </c>
      <c r="J209" s="16" t="str">
        <f t="shared" si="2"/>
        <v/>
      </c>
    </row>
    <row r="210" customHeight="1" spans="1:10">
      <c r="A210" s="8"/>
      <c r="B210" s="9"/>
      <c r="C210" s="9"/>
      <c r="D210" s="10"/>
      <c r="E210" s="10"/>
      <c r="F210" s="12" t="str">
        <f t="array" ref="F210">IF($B210="","",IFERROR(INDEX(Accounts!$B$2:$B$100,MATCH($B210,Accounts!$A$2:$A$100,0)),""))</f>
        <v/>
      </c>
      <c r="G210" s="12" t="str">
        <f t="array" ref="G210">IF($B210="","",IFERROR(INDEX(Accounts!$C$2:$C$100,MATCH($B210,Accounts!$A$2:$A$100,0)),""))</f>
        <v/>
      </c>
      <c r="H210" s="12" t="str">
        <f t="shared" si="0"/>
        <v/>
      </c>
      <c r="I210" s="15" t="str">
        <f t="shared" si="1"/>
        <v/>
      </c>
      <c r="J210" s="16" t="str">
        <f t="shared" si="2"/>
        <v/>
      </c>
    </row>
    <row r="211" customHeight="1" spans="1:10">
      <c r="A211" s="8"/>
      <c r="B211" s="9"/>
      <c r="C211" s="9"/>
      <c r="D211" s="10"/>
      <c r="E211" s="10"/>
      <c r="F211" s="12" t="str">
        <f t="array" ref="F211">IF($B211="","",IFERROR(INDEX(Accounts!$B$2:$B$100,MATCH($B211,Accounts!$A$2:$A$100,0)),""))</f>
        <v/>
      </c>
      <c r="G211" s="12" t="str">
        <f t="array" ref="G211">IF($B211="","",IFERROR(INDEX(Accounts!$C$2:$C$100,MATCH($B211,Accounts!$A$2:$A$100,0)),""))</f>
        <v/>
      </c>
      <c r="H211" s="12" t="str">
        <f t="shared" si="0"/>
        <v/>
      </c>
      <c r="I211" s="15" t="str">
        <f t="shared" si="1"/>
        <v/>
      </c>
      <c r="J211" s="16" t="str">
        <f t="shared" si="2"/>
        <v/>
      </c>
    </row>
    <row r="212" customHeight="1" spans="1:10">
      <c r="A212" s="8"/>
      <c r="B212" s="9"/>
      <c r="C212" s="9"/>
      <c r="D212" s="10"/>
      <c r="E212" s="10"/>
      <c r="F212" s="12" t="str">
        <f t="array" ref="F212">IF($B212="","",IFERROR(INDEX(Accounts!$B$2:$B$100,MATCH($B212,Accounts!$A$2:$A$100,0)),""))</f>
        <v/>
      </c>
      <c r="G212" s="12" t="str">
        <f t="array" ref="G212">IF($B212="","",IFERROR(INDEX(Accounts!$C$2:$C$100,MATCH($B212,Accounts!$A$2:$A$100,0)),""))</f>
        <v/>
      </c>
      <c r="H212" s="12" t="str">
        <f t="shared" si="0"/>
        <v/>
      </c>
      <c r="I212" s="15" t="str">
        <f t="shared" si="1"/>
        <v/>
      </c>
      <c r="J212" s="16" t="str">
        <f t="shared" si="2"/>
        <v/>
      </c>
    </row>
    <row r="213" customHeight="1" spans="1:10">
      <c r="A213" s="8"/>
      <c r="B213" s="9"/>
      <c r="C213" s="9"/>
      <c r="D213" s="10"/>
      <c r="E213" s="10"/>
      <c r="F213" s="12" t="str">
        <f t="array" ref="F213">IF($B213="","",IFERROR(INDEX(Accounts!$B$2:$B$100,MATCH($B213,Accounts!$A$2:$A$100,0)),""))</f>
        <v/>
      </c>
      <c r="G213" s="12" t="str">
        <f t="array" ref="G213">IF($B213="","",IFERROR(INDEX(Accounts!$C$2:$C$100,MATCH($B213,Accounts!$A$2:$A$100,0)),""))</f>
        <v/>
      </c>
      <c r="H213" s="12" t="str">
        <f t="shared" si="0"/>
        <v/>
      </c>
      <c r="I213" s="15" t="str">
        <f t="shared" si="1"/>
        <v/>
      </c>
      <c r="J213" s="16" t="str">
        <f t="shared" si="2"/>
        <v/>
      </c>
    </row>
    <row r="214" customHeight="1" spans="1:10">
      <c r="A214" s="8"/>
      <c r="B214" s="9"/>
      <c r="C214" s="9"/>
      <c r="D214" s="10"/>
      <c r="E214" s="10"/>
      <c r="F214" s="12" t="str">
        <f t="array" ref="F214">IF($B214="","",IFERROR(INDEX(Accounts!$B$2:$B$100,MATCH($B214,Accounts!$A$2:$A$100,0)),""))</f>
        <v/>
      </c>
      <c r="G214" s="12" t="str">
        <f t="array" ref="G214">IF($B214="","",IFERROR(INDEX(Accounts!$C$2:$C$100,MATCH($B214,Accounts!$A$2:$A$100,0)),""))</f>
        <v/>
      </c>
      <c r="H214" s="12" t="str">
        <f t="shared" si="0"/>
        <v/>
      </c>
      <c r="I214" s="15" t="str">
        <f t="shared" si="1"/>
        <v/>
      </c>
      <c r="J214" s="16" t="str">
        <f t="shared" si="2"/>
        <v/>
      </c>
    </row>
    <row r="215" customHeight="1" spans="1:10">
      <c r="A215" s="8"/>
      <c r="B215" s="9"/>
      <c r="C215" s="9"/>
      <c r="D215" s="10"/>
      <c r="E215" s="10"/>
      <c r="F215" s="12" t="str">
        <f t="array" ref="F215">IF($B215="","",IFERROR(INDEX(Accounts!$B$2:$B$100,MATCH($B215,Accounts!$A$2:$A$100,0)),""))</f>
        <v/>
      </c>
      <c r="G215" s="12" t="str">
        <f t="array" ref="G215">IF($B215="","",IFERROR(INDEX(Accounts!$C$2:$C$100,MATCH($B215,Accounts!$A$2:$A$100,0)),""))</f>
        <v/>
      </c>
      <c r="H215" s="12" t="str">
        <f t="shared" si="0"/>
        <v/>
      </c>
      <c r="I215" s="15" t="str">
        <f t="shared" si="1"/>
        <v/>
      </c>
      <c r="J215" s="16" t="str">
        <f t="shared" si="2"/>
        <v/>
      </c>
    </row>
    <row r="216" customHeight="1" spans="1:10">
      <c r="A216" s="8"/>
      <c r="B216" s="9"/>
      <c r="C216" s="9"/>
      <c r="D216" s="10"/>
      <c r="E216" s="10"/>
      <c r="F216" s="12" t="str">
        <f t="array" ref="F216">IF($B216="","",IFERROR(INDEX(Accounts!$B$2:$B$100,MATCH($B216,Accounts!$A$2:$A$100,0)),""))</f>
        <v/>
      </c>
      <c r="G216" s="12" t="str">
        <f t="array" ref="G216">IF($B216="","",IFERROR(INDEX(Accounts!$C$2:$C$100,MATCH($B216,Accounts!$A$2:$A$100,0)),""))</f>
        <v/>
      </c>
      <c r="H216" s="12" t="str">
        <f t="shared" si="0"/>
        <v/>
      </c>
      <c r="I216" s="15" t="str">
        <f t="shared" si="1"/>
        <v/>
      </c>
      <c r="J216" s="16" t="str">
        <f t="shared" si="2"/>
        <v/>
      </c>
    </row>
    <row r="217" customHeight="1" spans="1:10">
      <c r="A217" s="8"/>
      <c r="B217" s="9"/>
      <c r="C217" s="9"/>
      <c r="D217" s="10"/>
      <c r="E217" s="10"/>
      <c r="F217" s="12" t="str">
        <f t="array" ref="F217">IF($B217="","",IFERROR(INDEX(Accounts!$B$2:$B$100,MATCH($B217,Accounts!$A$2:$A$100,0)),""))</f>
        <v/>
      </c>
      <c r="G217" s="12" t="str">
        <f t="array" ref="G217">IF($B217="","",IFERROR(INDEX(Accounts!$C$2:$C$100,MATCH($B217,Accounts!$A$2:$A$100,0)),""))</f>
        <v/>
      </c>
      <c r="H217" s="12" t="str">
        <f t="shared" si="0"/>
        <v/>
      </c>
      <c r="I217" s="15" t="str">
        <f t="shared" si="1"/>
        <v/>
      </c>
      <c r="J217" s="16" t="str">
        <f t="shared" si="2"/>
        <v/>
      </c>
    </row>
    <row r="218" customHeight="1" spans="1:10">
      <c r="A218" s="8"/>
      <c r="B218" s="9"/>
      <c r="C218" s="9"/>
      <c r="D218" s="10"/>
      <c r="E218" s="10"/>
      <c r="F218" s="12" t="str">
        <f t="array" ref="F218">IF($B218="","",IFERROR(INDEX(Accounts!$B$2:$B$100,MATCH($B218,Accounts!$A$2:$A$100,0)),""))</f>
        <v/>
      </c>
      <c r="G218" s="12" t="str">
        <f t="array" ref="G218">IF($B218="","",IFERROR(INDEX(Accounts!$C$2:$C$100,MATCH($B218,Accounts!$A$2:$A$100,0)),""))</f>
        <v/>
      </c>
      <c r="H218" s="12" t="str">
        <f t="shared" si="0"/>
        <v/>
      </c>
      <c r="I218" s="15" t="str">
        <f t="shared" si="1"/>
        <v/>
      </c>
      <c r="J218" s="16" t="str">
        <f t="shared" si="2"/>
        <v/>
      </c>
    </row>
    <row r="219" customHeight="1" spans="1:10">
      <c r="A219" s="8"/>
      <c r="B219" s="9"/>
      <c r="C219" s="9"/>
      <c r="D219" s="10"/>
      <c r="E219" s="10"/>
      <c r="F219" s="12" t="str">
        <f t="array" ref="F219">IF($B219="","",IFERROR(INDEX(Accounts!$B$2:$B$100,MATCH($B219,Accounts!$A$2:$A$100,0)),""))</f>
        <v/>
      </c>
      <c r="G219" s="12" t="str">
        <f t="array" ref="G219">IF($B219="","",IFERROR(INDEX(Accounts!$C$2:$C$100,MATCH($B219,Accounts!$A$2:$A$100,0)),""))</f>
        <v/>
      </c>
      <c r="H219" s="12" t="str">
        <f t="shared" si="0"/>
        <v/>
      </c>
      <c r="I219" s="15" t="str">
        <f t="shared" si="1"/>
        <v/>
      </c>
      <c r="J219" s="16" t="str">
        <f t="shared" si="2"/>
        <v/>
      </c>
    </row>
    <row r="220" customHeight="1" spans="1:10">
      <c r="A220" s="8"/>
      <c r="B220" s="9"/>
      <c r="C220" s="9"/>
      <c r="D220" s="10"/>
      <c r="E220" s="10"/>
      <c r="F220" s="12" t="str">
        <f t="array" ref="F220">IF($B220="","",IFERROR(INDEX(Accounts!$B$2:$B$100,MATCH($B220,Accounts!$A$2:$A$100,0)),""))</f>
        <v/>
      </c>
      <c r="G220" s="12" t="str">
        <f t="array" ref="G220">IF($B220="","",IFERROR(INDEX(Accounts!$C$2:$C$100,MATCH($B220,Accounts!$A$2:$A$100,0)),""))</f>
        <v/>
      </c>
      <c r="H220" s="12" t="str">
        <f t="shared" si="0"/>
        <v/>
      </c>
      <c r="I220" s="15" t="str">
        <f t="shared" si="1"/>
        <v/>
      </c>
      <c r="J220" s="16" t="str">
        <f t="shared" si="2"/>
        <v/>
      </c>
    </row>
    <row r="221" customHeight="1" spans="1:10">
      <c r="A221" s="8"/>
      <c r="B221" s="9"/>
      <c r="C221" s="9"/>
      <c r="D221" s="10"/>
      <c r="E221" s="10"/>
      <c r="F221" s="12" t="str">
        <f t="array" ref="F221">IF($B221="","",IFERROR(INDEX(Accounts!$B$2:$B$100,MATCH($B221,Accounts!$A$2:$A$100,0)),""))</f>
        <v/>
      </c>
      <c r="G221" s="12" t="str">
        <f t="array" ref="G221">IF($B221="","",IFERROR(INDEX(Accounts!$C$2:$C$100,MATCH($B221,Accounts!$A$2:$A$100,0)),""))</f>
        <v/>
      </c>
      <c r="H221" s="12" t="str">
        <f t="shared" si="0"/>
        <v/>
      </c>
      <c r="I221" s="15" t="str">
        <f t="shared" si="1"/>
        <v/>
      </c>
      <c r="J221" s="16" t="str">
        <f t="shared" si="2"/>
        <v/>
      </c>
    </row>
    <row r="222" customHeight="1" spans="1:10">
      <c r="A222" s="8"/>
      <c r="B222" s="9"/>
      <c r="C222" s="9"/>
      <c r="D222" s="10"/>
      <c r="E222" s="10"/>
      <c r="F222" s="12" t="str">
        <f t="array" ref="F222">IF($B222="","",IFERROR(INDEX(Accounts!$B$2:$B$100,MATCH($B222,Accounts!$A$2:$A$100,0)),""))</f>
        <v/>
      </c>
      <c r="G222" s="12" t="str">
        <f t="array" ref="G222">IF($B222="","",IFERROR(INDEX(Accounts!$C$2:$C$100,MATCH($B222,Accounts!$A$2:$A$100,0)),""))</f>
        <v/>
      </c>
      <c r="H222" s="12" t="str">
        <f t="shared" si="0"/>
        <v/>
      </c>
      <c r="I222" s="15" t="str">
        <f t="shared" si="1"/>
        <v/>
      </c>
      <c r="J222" s="16" t="str">
        <f t="shared" si="2"/>
        <v/>
      </c>
    </row>
    <row r="223" customHeight="1" spans="1:10">
      <c r="A223" s="8"/>
      <c r="B223" s="9"/>
      <c r="C223" s="9"/>
      <c r="D223" s="10"/>
      <c r="E223" s="10"/>
      <c r="F223" s="12" t="str">
        <f t="array" ref="F223">IF($B223="","",IFERROR(INDEX(Accounts!$B$2:$B$100,MATCH($B223,Accounts!$A$2:$A$100,0)),""))</f>
        <v/>
      </c>
      <c r="G223" s="12" t="str">
        <f t="array" ref="G223">IF($B223="","",IFERROR(INDEX(Accounts!$C$2:$C$100,MATCH($B223,Accounts!$A$2:$A$100,0)),""))</f>
        <v/>
      </c>
      <c r="H223" s="12" t="str">
        <f t="shared" si="0"/>
        <v/>
      </c>
      <c r="I223" s="15" t="str">
        <f t="shared" si="1"/>
        <v/>
      </c>
      <c r="J223" s="16" t="str">
        <f t="shared" si="2"/>
        <v/>
      </c>
    </row>
    <row r="224" customHeight="1" spans="1:10">
      <c r="A224" s="8"/>
      <c r="B224" s="9"/>
      <c r="C224" s="9"/>
      <c r="D224" s="10"/>
      <c r="E224" s="10"/>
      <c r="F224" s="12" t="str">
        <f t="array" ref="F224">IF($B224="","",IFERROR(INDEX(Accounts!$B$2:$B$100,MATCH($B224,Accounts!$A$2:$A$100,0)),""))</f>
        <v/>
      </c>
      <c r="G224" s="12" t="str">
        <f t="array" ref="G224">IF($B224="","",IFERROR(INDEX(Accounts!$C$2:$C$100,MATCH($B224,Accounts!$A$2:$A$100,0)),""))</f>
        <v/>
      </c>
      <c r="H224" s="12" t="str">
        <f t="shared" si="0"/>
        <v/>
      </c>
      <c r="I224" s="15" t="str">
        <f t="shared" si="1"/>
        <v/>
      </c>
      <c r="J224" s="16" t="str">
        <f t="shared" si="2"/>
        <v/>
      </c>
    </row>
    <row r="225" customHeight="1" spans="1:10">
      <c r="A225" s="8"/>
      <c r="B225" s="9"/>
      <c r="C225" s="9"/>
      <c r="D225" s="10"/>
      <c r="E225" s="10"/>
      <c r="F225" s="12" t="str">
        <f t="array" ref="F225">IF($B225="","",IFERROR(INDEX(Accounts!$B$2:$B$100,MATCH($B225,Accounts!$A$2:$A$100,0)),""))</f>
        <v/>
      </c>
      <c r="G225" s="12" t="str">
        <f t="array" ref="G225">IF($B225="","",IFERROR(INDEX(Accounts!$C$2:$C$100,MATCH($B225,Accounts!$A$2:$A$100,0)),""))</f>
        <v/>
      </c>
      <c r="H225" s="12" t="str">
        <f t="shared" si="0"/>
        <v/>
      </c>
      <c r="I225" s="15" t="str">
        <f t="shared" si="1"/>
        <v/>
      </c>
      <c r="J225" s="16" t="str">
        <f t="shared" si="2"/>
        <v/>
      </c>
    </row>
    <row r="226" customHeight="1" spans="1:10">
      <c r="A226" s="8"/>
      <c r="B226" s="9"/>
      <c r="C226" s="9"/>
      <c r="D226" s="10"/>
      <c r="E226" s="10"/>
      <c r="F226" s="12" t="str">
        <f t="array" ref="F226">IF($B226="","",IFERROR(INDEX(Accounts!$B$2:$B$100,MATCH($B226,Accounts!$A$2:$A$100,0)),""))</f>
        <v/>
      </c>
      <c r="G226" s="12" t="str">
        <f t="array" ref="G226">IF($B226="","",IFERROR(INDEX(Accounts!$C$2:$C$100,MATCH($B226,Accounts!$A$2:$A$100,0)),""))</f>
        <v/>
      </c>
      <c r="H226" s="12" t="str">
        <f t="shared" si="0"/>
        <v/>
      </c>
      <c r="I226" s="15" t="str">
        <f t="shared" si="1"/>
        <v/>
      </c>
      <c r="J226" s="16" t="str">
        <f t="shared" si="2"/>
        <v/>
      </c>
    </row>
    <row r="227" customHeight="1" spans="1:10">
      <c r="A227" s="8"/>
      <c r="B227" s="9"/>
      <c r="C227" s="9"/>
      <c r="D227" s="10"/>
      <c r="E227" s="10"/>
      <c r="F227" s="12" t="str">
        <f t="array" ref="F227">IF($B227="","",IFERROR(INDEX(Accounts!$B$2:$B$100,MATCH($B227,Accounts!$A$2:$A$100,0)),""))</f>
        <v/>
      </c>
      <c r="G227" s="12" t="str">
        <f t="array" ref="G227">IF($B227="","",IFERROR(INDEX(Accounts!$C$2:$C$100,MATCH($B227,Accounts!$A$2:$A$100,0)),""))</f>
        <v/>
      </c>
      <c r="H227" s="12" t="str">
        <f t="shared" si="0"/>
        <v/>
      </c>
      <c r="I227" s="15" t="str">
        <f t="shared" si="1"/>
        <v/>
      </c>
      <c r="J227" s="16" t="str">
        <f t="shared" si="2"/>
        <v/>
      </c>
    </row>
    <row r="228" customHeight="1" spans="1:10">
      <c r="A228" s="8"/>
      <c r="B228" s="9"/>
      <c r="C228" s="9"/>
      <c r="D228" s="10"/>
      <c r="E228" s="10"/>
      <c r="F228" s="12" t="str">
        <f t="array" ref="F228">IF($B228="","",IFERROR(INDEX(Accounts!$B$2:$B$100,MATCH($B228,Accounts!$A$2:$A$100,0)),""))</f>
        <v/>
      </c>
      <c r="G228" s="12" t="str">
        <f t="array" ref="G228">IF($B228="","",IFERROR(INDEX(Accounts!$C$2:$C$100,MATCH($B228,Accounts!$A$2:$A$100,0)),""))</f>
        <v/>
      </c>
      <c r="H228" s="12" t="str">
        <f t="shared" si="0"/>
        <v/>
      </c>
      <c r="I228" s="15" t="str">
        <f t="shared" si="1"/>
        <v/>
      </c>
      <c r="J228" s="16" t="str">
        <f t="shared" si="2"/>
        <v/>
      </c>
    </row>
    <row r="229" customHeight="1" spans="1:10">
      <c r="A229" s="8"/>
      <c r="B229" s="9"/>
      <c r="C229" s="9"/>
      <c r="D229" s="10"/>
      <c r="E229" s="10"/>
      <c r="F229" s="12" t="str">
        <f t="array" ref="F229">IF($B229="","",IFERROR(INDEX(Accounts!$B$2:$B$100,MATCH($B229,Accounts!$A$2:$A$100,0)),""))</f>
        <v/>
      </c>
      <c r="G229" s="12" t="str">
        <f t="array" ref="G229">IF($B229="","",IFERROR(INDEX(Accounts!$C$2:$C$100,MATCH($B229,Accounts!$A$2:$A$100,0)),""))</f>
        <v/>
      </c>
      <c r="H229" s="12" t="str">
        <f t="shared" si="0"/>
        <v/>
      </c>
      <c r="I229" s="15" t="str">
        <f t="shared" si="1"/>
        <v/>
      </c>
      <c r="J229" s="16" t="str">
        <f t="shared" si="2"/>
        <v/>
      </c>
    </row>
    <row r="230" customHeight="1" spans="1:10">
      <c r="A230" s="8"/>
      <c r="B230" s="9"/>
      <c r="C230" s="9"/>
      <c r="D230" s="10"/>
      <c r="E230" s="10"/>
      <c r="F230" s="12" t="str">
        <f t="array" ref="F230">IF($B230="","",IFERROR(INDEX(Accounts!$B$2:$B$100,MATCH($B230,Accounts!$A$2:$A$100,0)),""))</f>
        <v/>
      </c>
      <c r="G230" s="12" t="str">
        <f t="array" ref="G230">IF($B230="","",IFERROR(INDEX(Accounts!$C$2:$C$100,MATCH($B230,Accounts!$A$2:$A$100,0)),""))</f>
        <v/>
      </c>
      <c r="H230" s="12" t="str">
        <f t="shared" si="0"/>
        <v/>
      </c>
      <c r="I230" s="15" t="str">
        <f t="shared" si="1"/>
        <v/>
      </c>
      <c r="J230" s="16" t="str">
        <f t="shared" si="2"/>
        <v/>
      </c>
    </row>
    <row r="231" customHeight="1" spans="1:10">
      <c r="A231" s="8"/>
      <c r="B231" s="9"/>
      <c r="C231" s="9"/>
      <c r="D231" s="10"/>
      <c r="E231" s="10"/>
      <c r="F231" s="12" t="str">
        <f t="array" ref="F231">IF($B231="","",IFERROR(INDEX(Accounts!$B$2:$B$100,MATCH($B231,Accounts!$A$2:$A$100,0)),""))</f>
        <v/>
      </c>
      <c r="G231" s="12" t="str">
        <f t="array" ref="G231">IF($B231="","",IFERROR(INDEX(Accounts!$C$2:$C$100,MATCH($B231,Accounts!$A$2:$A$100,0)),""))</f>
        <v/>
      </c>
      <c r="H231" s="12" t="str">
        <f t="shared" si="0"/>
        <v/>
      </c>
      <c r="I231" s="15" t="str">
        <f t="shared" si="1"/>
        <v/>
      </c>
      <c r="J231" s="16" t="str">
        <f t="shared" si="2"/>
        <v/>
      </c>
    </row>
    <row r="232" customHeight="1" spans="1:10">
      <c r="A232" s="8"/>
      <c r="B232" s="9"/>
      <c r="C232" s="9"/>
      <c r="D232" s="10"/>
      <c r="E232" s="10"/>
      <c r="F232" s="12" t="str">
        <f t="array" ref="F232">IF($B232="","",IFERROR(INDEX(Accounts!$B$2:$B$100,MATCH($B232,Accounts!$A$2:$A$100,0)),""))</f>
        <v/>
      </c>
      <c r="G232" s="12" t="str">
        <f t="array" ref="G232">IF($B232="","",IFERROR(INDEX(Accounts!$C$2:$C$100,MATCH($B232,Accounts!$A$2:$A$100,0)),""))</f>
        <v/>
      </c>
      <c r="H232" s="12" t="str">
        <f t="shared" si="0"/>
        <v/>
      </c>
      <c r="I232" s="15" t="str">
        <f t="shared" si="1"/>
        <v/>
      </c>
      <c r="J232" s="16" t="str">
        <f t="shared" si="2"/>
        <v/>
      </c>
    </row>
    <row r="233" customHeight="1" spans="1:10">
      <c r="A233" s="8"/>
      <c r="B233" s="9"/>
      <c r="C233" s="9"/>
      <c r="D233" s="10"/>
      <c r="E233" s="10"/>
      <c r="F233" s="12" t="str">
        <f t="array" ref="F233">IF($B233="","",IFERROR(INDEX(Accounts!$B$2:$B$100,MATCH($B233,Accounts!$A$2:$A$100,0)),""))</f>
        <v/>
      </c>
      <c r="G233" s="12" t="str">
        <f t="array" ref="G233">IF($B233="","",IFERROR(INDEX(Accounts!$C$2:$C$100,MATCH($B233,Accounts!$A$2:$A$100,0)),""))</f>
        <v/>
      </c>
      <c r="H233" s="12" t="str">
        <f t="shared" si="0"/>
        <v/>
      </c>
      <c r="I233" s="15" t="str">
        <f t="shared" si="1"/>
        <v/>
      </c>
      <c r="J233" s="16" t="str">
        <f t="shared" si="2"/>
        <v/>
      </c>
    </row>
    <row r="234" customHeight="1" spans="1:10">
      <c r="A234" s="8"/>
      <c r="B234" s="9"/>
      <c r="C234" s="9"/>
      <c r="D234" s="10"/>
      <c r="E234" s="10"/>
      <c r="F234" s="12" t="str">
        <f t="array" ref="F234">IF($B234="","",IFERROR(INDEX(Accounts!$B$2:$B$100,MATCH($B234,Accounts!$A$2:$A$100,0)),""))</f>
        <v/>
      </c>
      <c r="G234" s="12" t="str">
        <f t="array" ref="G234">IF($B234="","",IFERROR(INDEX(Accounts!$C$2:$C$100,MATCH($B234,Accounts!$A$2:$A$100,0)),""))</f>
        <v/>
      </c>
      <c r="H234" s="12" t="str">
        <f t="shared" si="0"/>
        <v/>
      </c>
      <c r="I234" s="15" t="str">
        <f t="shared" si="1"/>
        <v/>
      </c>
      <c r="J234" s="16" t="str">
        <f t="shared" si="2"/>
        <v/>
      </c>
    </row>
    <row r="235" customHeight="1" spans="1:10">
      <c r="A235" s="8"/>
      <c r="B235" s="9"/>
      <c r="C235" s="9"/>
      <c r="D235" s="10"/>
      <c r="E235" s="10"/>
      <c r="F235" s="12" t="str">
        <f t="array" ref="F235">IF($B235="","",IFERROR(INDEX(Accounts!$B$2:$B$100,MATCH($B235,Accounts!$A$2:$A$100,0)),""))</f>
        <v/>
      </c>
      <c r="G235" s="12" t="str">
        <f t="array" ref="G235">IF($B235="","",IFERROR(INDEX(Accounts!$C$2:$C$100,MATCH($B235,Accounts!$A$2:$A$100,0)),""))</f>
        <v/>
      </c>
      <c r="H235" s="12" t="str">
        <f t="shared" si="0"/>
        <v/>
      </c>
      <c r="I235" s="15" t="str">
        <f t="shared" si="1"/>
        <v/>
      </c>
      <c r="J235" s="16" t="str">
        <f t="shared" si="2"/>
        <v/>
      </c>
    </row>
    <row r="236" customHeight="1" spans="1:10">
      <c r="A236" s="8"/>
      <c r="B236" s="9"/>
      <c r="C236" s="9"/>
      <c r="D236" s="10"/>
      <c r="E236" s="10"/>
      <c r="F236" s="12" t="str">
        <f t="array" ref="F236">IF($B236="","",IFERROR(INDEX(Accounts!$B$2:$B$100,MATCH($B236,Accounts!$A$2:$A$100,0)),""))</f>
        <v/>
      </c>
      <c r="G236" s="12" t="str">
        <f t="array" ref="G236">IF($B236="","",IFERROR(INDEX(Accounts!$C$2:$C$100,MATCH($B236,Accounts!$A$2:$A$100,0)),""))</f>
        <v/>
      </c>
      <c r="H236" s="12" t="str">
        <f t="shared" si="0"/>
        <v/>
      </c>
      <c r="I236" s="15" t="str">
        <f t="shared" si="1"/>
        <v/>
      </c>
      <c r="J236" s="16" t="str">
        <f t="shared" si="2"/>
        <v/>
      </c>
    </row>
    <row r="237" customHeight="1" spans="1:10">
      <c r="A237" s="8"/>
      <c r="B237" s="9"/>
      <c r="C237" s="9"/>
      <c r="D237" s="10"/>
      <c r="E237" s="10"/>
      <c r="F237" s="12" t="str">
        <f t="array" ref="F237">IF($B237="","",IFERROR(INDEX(Accounts!$B$2:$B$100,MATCH($B237,Accounts!$A$2:$A$100,0)),""))</f>
        <v/>
      </c>
      <c r="G237" s="12" t="str">
        <f t="array" ref="G237">IF($B237="","",IFERROR(INDEX(Accounts!$C$2:$C$100,MATCH($B237,Accounts!$A$2:$A$100,0)),""))</f>
        <v/>
      </c>
      <c r="H237" s="12" t="str">
        <f t="shared" si="0"/>
        <v/>
      </c>
      <c r="I237" s="15" t="str">
        <f t="shared" si="1"/>
        <v/>
      </c>
      <c r="J237" s="16" t="str">
        <f t="shared" si="2"/>
        <v/>
      </c>
    </row>
    <row r="238" customHeight="1" spans="1:10">
      <c r="A238" s="8"/>
      <c r="B238" s="9"/>
      <c r="C238" s="9"/>
      <c r="D238" s="10"/>
      <c r="E238" s="10"/>
      <c r="F238" s="12" t="str">
        <f t="array" ref="F238">IF($B238="","",IFERROR(INDEX(Accounts!$B$2:$B$100,MATCH($B238,Accounts!$A$2:$A$100,0)),""))</f>
        <v/>
      </c>
      <c r="G238" s="12" t="str">
        <f t="array" ref="G238">IF($B238="","",IFERROR(INDEX(Accounts!$C$2:$C$100,MATCH($B238,Accounts!$A$2:$A$100,0)),""))</f>
        <v/>
      </c>
      <c r="H238" s="12" t="str">
        <f t="shared" si="0"/>
        <v/>
      </c>
      <c r="I238" s="15" t="str">
        <f t="shared" si="1"/>
        <v/>
      </c>
      <c r="J238" s="16" t="str">
        <f t="shared" si="2"/>
        <v/>
      </c>
    </row>
    <row r="239" customHeight="1" spans="1:10">
      <c r="A239" s="8"/>
      <c r="B239" s="9"/>
      <c r="C239" s="9"/>
      <c r="D239" s="10"/>
      <c r="E239" s="10"/>
      <c r="F239" s="12" t="str">
        <f t="array" ref="F239">IF($B239="","",IFERROR(INDEX(Accounts!$B$2:$B$100,MATCH($B239,Accounts!$A$2:$A$100,0)),""))</f>
        <v/>
      </c>
      <c r="G239" s="12" t="str">
        <f t="array" ref="G239">IF($B239="","",IFERROR(INDEX(Accounts!$C$2:$C$100,MATCH($B239,Accounts!$A$2:$A$100,0)),""))</f>
        <v/>
      </c>
      <c r="H239" s="12" t="str">
        <f t="shared" si="0"/>
        <v/>
      </c>
      <c r="I239" s="15" t="str">
        <f t="shared" si="1"/>
        <v/>
      </c>
      <c r="J239" s="16" t="str">
        <f t="shared" si="2"/>
        <v/>
      </c>
    </row>
    <row r="240" customHeight="1" spans="1:10">
      <c r="A240" s="8"/>
      <c r="B240" s="9"/>
      <c r="C240" s="9"/>
      <c r="D240" s="10"/>
      <c r="E240" s="10"/>
      <c r="F240" s="12" t="str">
        <f t="array" ref="F240">IF($B240="","",IFERROR(INDEX(Accounts!$B$2:$B$100,MATCH($B240,Accounts!$A$2:$A$100,0)),""))</f>
        <v/>
      </c>
      <c r="G240" s="12" t="str">
        <f t="array" ref="G240">IF($B240="","",IFERROR(INDEX(Accounts!$C$2:$C$100,MATCH($B240,Accounts!$A$2:$A$100,0)),""))</f>
        <v/>
      </c>
      <c r="H240" s="12" t="str">
        <f t="shared" si="0"/>
        <v/>
      </c>
      <c r="I240" s="15" t="str">
        <f t="shared" si="1"/>
        <v/>
      </c>
      <c r="J240" s="16" t="str">
        <f t="shared" si="2"/>
        <v/>
      </c>
    </row>
    <row r="241" customHeight="1" spans="1:10">
      <c r="A241" s="8"/>
      <c r="B241" s="9"/>
      <c r="C241" s="9"/>
      <c r="D241" s="10"/>
      <c r="E241" s="10"/>
      <c r="F241" s="12" t="str">
        <f t="array" ref="F241">IF($B241="","",IFERROR(INDEX(Accounts!$B$2:$B$100,MATCH($B241,Accounts!$A$2:$A$100,0)),""))</f>
        <v/>
      </c>
      <c r="G241" s="12" t="str">
        <f t="array" ref="G241">IF($B241="","",IFERROR(INDEX(Accounts!$C$2:$C$100,MATCH($B241,Accounts!$A$2:$A$100,0)),""))</f>
        <v/>
      </c>
      <c r="H241" s="12" t="str">
        <f t="shared" si="0"/>
        <v/>
      </c>
      <c r="I241" s="15" t="str">
        <f t="shared" si="1"/>
        <v/>
      </c>
      <c r="J241" s="16" t="str">
        <f t="shared" si="2"/>
        <v/>
      </c>
    </row>
    <row r="242" customHeight="1" spans="1:10">
      <c r="A242" s="8"/>
      <c r="B242" s="9"/>
      <c r="C242" s="9"/>
      <c r="D242" s="10"/>
      <c r="E242" s="10"/>
      <c r="F242" s="12" t="str">
        <f t="array" ref="F242">IF($B242="","",IFERROR(INDEX(Accounts!$B$2:$B$100,MATCH($B242,Accounts!$A$2:$A$100,0)),""))</f>
        <v/>
      </c>
      <c r="G242" s="12" t="str">
        <f t="array" ref="G242">IF($B242="","",IFERROR(INDEX(Accounts!$C$2:$C$100,MATCH($B242,Accounts!$A$2:$A$100,0)),""))</f>
        <v/>
      </c>
      <c r="H242" s="12" t="str">
        <f t="shared" si="0"/>
        <v/>
      </c>
      <c r="I242" s="15" t="str">
        <f t="shared" si="1"/>
        <v/>
      </c>
      <c r="J242" s="16" t="str">
        <f t="shared" si="2"/>
        <v/>
      </c>
    </row>
    <row r="243" customHeight="1" spans="1:10">
      <c r="A243" s="8"/>
      <c r="B243" s="9"/>
      <c r="C243" s="9"/>
      <c r="D243" s="10"/>
      <c r="E243" s="10"/>
      <c r="F243" s="12" t="str">
        <f t="array" ref="F243">IF($B243="","",IFERROR(INDEX(Accounts!$B$2:$B$100,MATCH($B243,Accounts!$A$2:$A$100,0)),""))</f>
        <v/>
      </c>
      <c r="G243" s="12" t="str">
        <f t="array" ref="G243">IF($B243="","",IFERROR(INDEX(Accounts!$C$2:$C$100,MATCH($B243,Accounts!$A$2:$A$100,0)),""))</f>
        <v/>
      </c>
      <c r="H243" s="12" t="str">
        <f t="shared" si="0"/>
        <v/>
      </c>
      <c r="I243" s="15" t="str">
        <f t="shared" si="1"/>
        <v/>
      </c>
      <c r="J243" s="16" t="str">
        <f t="shared" si="2"/>
        <v/>
      </c>
    </row>
    <row r="244" customHeight="1" spans="1:10">
      <c r="A244" s="8"/>
      <c r="B244" s="9"/>
      <c r="C244" s="9"/>
      <c r="D244" s="10"/>
      <c r="E244" s="10"/>
      <c r="F244" s="12" t="str">
        <f t="array" ref="F244">IF($B244="","",IFERROR(INDEX(Accounts!$B$2:$B$100,MATCH($B244,Accounts!$A$2:$A$100,0)),""))</f>
        <v/>
      </c>
      <c r="G244" s="12" t="str">
        <f t="array" ref="G244">IF($B244="","",IFERROR(INDEX(Accounts!$C$2:$C$100,MATCH($B244,Accounts!$A$2:$A$100,0)),""))</f>
        <v/>
      </c>
      <c r="H244" s="12" t="str">
        <f t="shared" si="0"/>
        <v/>
      </c>
      <c r="I244" s="15" t="str">
        <f t="shared" si="1"/>
        <v/>
      </c>
      <c r="J244" s="16" t="str">
        <f t="shared" si="2"/>
        <v/>
      </c>
    </row>
    <row r="245" customHeight="1" spans="1:10">
      <c r="A245" s="8"/>
      <c r="B245" s="9"/>
      <c r="C245" s="9"/>
      <c r="D245" s="10"/>
      <c r="E245" s="10"/>
      <c r="F245" s="12" t="str">
        <f t="array" ref="F245">IF($B245="","",IFERROR(INDEX(Accounts!$B$2:$B$100,MATCH($B245,Accounts!$A$2:$A$100,0)),""))</f>
        <v/>
      </c>
      <c r="G245" s="12" t="str">
        <f t="array" ref="G245">IF($B245="","",IFERROR(INDEX(Accounts!$C$2:$C$100,MATCH($B245,Accounts!$A$2:$A$100,0)),""))</f>
        <v/>
      </c>
      <c r="H245" s="12" t="str">
        <f t="shared" si="0"/>
        <v/>
      </c>
      <c r="I245" s="15" t="str">
        <f t="shared" si="1"/>
        <v/>
      </c>
      <c r="J245" s="16" t="str">
        <f t="shared" si="2"/>
        <v/>
      </c>
    </row>
    <row r="246" customHeight="1" spans="1:10">
      <c r="A246" s="8"/>
      <c r="B246" s="9"/>
      <c r="C246" s="9"/>
      <c r="D246" s="10"/>
      <c r="E246" s="10"/>
      <c r="F246" s="12" t="str">
        <f t="array" ref="F246">IF($B246="","",IFERROR(INDEX(Accounts!$B$2:$B$100,MATCH($B246,Accounts!$A$2:$A$100,0)),""))</f>
        <v/>
      </c>
      <c r="G246" s="12" t="str">
        <f t="array" ref="G246">IF($B246="","",IFERROR(INDEX(Accounts!$C$2:$C$100,MATCH($B246,Accounts!$A$2:$A$100,0)),""))</f>
        <v/>
      </c>
      <c r="H246" s="12" t="str">
        <f t="shared" si="0"/>
        <v/>
      </c>
      <c r="I246" s="15" t="str">
        <f t="shared" si="1"/>
        <v/>
      </c>
      <c r="J246" s="16" t="str">
        <f t="shared" si="2"/>
        <v/>
      </c>
    </row>
    <row r="247" customHeight="1" spans="1:10">
      <c r="A247" s="8"/>
      <c r="B247" s="9"/>
      <c r="C247" s="9"/>
      <c r="D247" s="10"/>
      <c r="E247" s="10"/>
      <c r="F247" s="12" t="str">
        <f t="array" ref="F247">IF($B247="","",IFERROR(INDEX(Accounts!$B$2:$B$100,MATCH($B247,Accounts!$A$2:$A$100,0)),""))</f>
        <v/>
      </c>
      <c r="G247" s="12" t="str">
        <f t="array" ref="G247">IF($B247="","",IFERROR(INDEX(Accounts!$C$2:$C$100,MATCH($B247,Accounts!$A$2:$A$100,0)),""))</f>
        <v/>
      </c>
      <c r="H247" s="12" t="str">
        <f t="shared" si="0"/>
        <v/>
      </c>
      <c r="I247" s="15" t="str">
        <f t="shared" si="1"/>
        <v/>
      </c>
      <c r="J247" s="16" t="str">
        <f t="shared" si="2"/>
        <v/>
      </c>
    </row>
    <row r="248" customHeight="1" spans="1:10">
      <c r="A248" s="8"/>
      <c r="B248" s="9"/>
      <c r="C248" s="9"/>
      <c r="D248" s="10"/>
      <c r="E248" s="10"/>
      <c r="F248" s="12" t="str">
        <f t="array" ref="F248">IF($B248="","",IFERROR(INDEX(Accounts!$B$2:$B$100,MATCH($B248,Accounts!$A$2:$A$100,0)),""))</f>
        <v/>
      </c>
      <c r="G248" s="12" t="str">
        <f t="array" ref="G248">IF($B248="","",IFERROR(INDEX(Accounts!$C$2:$C$100,MATCH($B248,Accounts!$A$2:$A$100,0)),""))</f>
        <v/>
      </c>
      <c r="H248" s="12" t="str">
        <f t="shared" si="0"/>
        <v/>
      </c>
      <c r="I248" s="15" t="str">
        <f t="shared" si="1"/>
        <v/>
      </c>
      <c r="J248" s="16" t="str">
        <f t="shared" si="2"/>
        <v/>
      </c>
    </row>
    <row r="249" customHeight="1" spans="1:10">
      <c r="A249" s="8"/>
      <c r="B249" s="9"/>
      <c r="C249" s="9"/>
      <c r="D249" s="10"/>
      <c r="E249" s="10"/>
      <c r="F249" s="12" t="str">
        <f t="array" ref="F249">IF($B249="","",IFERROR(INDEX(Accounts!$B$2:$B$100,MATCH($B249,Accounts!$A$2:$A$100,0)),""))</f>
        <v/>
      </c>
      <c r="G249" s="12" t="str">
        <f t="array" ref="G249">IF($B249="","",IFERROR(INDEX(Accounts!$C$2:$C$100,MATCH($B249,Accounts!$A$2:$A$100,0)),""))</f>
        <v/>
      </c>
      <c r="H249" s="12" t="str">
        <f t="shared" si="0"/>
        <v/>
      </c>
      <c r="I249" s="15" t="str">
        <f t="shared" si="1"/>
        <v/>
      </c>
      <c r="J249" s="16" t="str">
        <f t="shared" si="2"/>
        <v/>
      </c>
    </row>
    <row r="250" customHeight="1" spans="1:10">
      <c r="A250" s="8"/>
      <c r="B250" s="9"/>
      <c r="C250" s="9"/>
      <c r="D250" s="10"/>
      <c r="E250" s="10"/>
      <c r="F250" s="12" t="str">
        <f t="array" ref="F250">IF($B250="","",IFERROR(INDEX(Accounts!$B$2:$B$100,MATCH($B250,Accounts!$A$2:$A$100,0)),""))</f>
        <v/>
      </c>
      <c r="G250" s="12" t="str">
        <f t="array" ref="G250">IF($B250="","",IFERROR(INDEX(Accounts!$C$2:$C$100,MATCH($B250,Accounts!$A$2:$A$100,0)),""))</f>
        <v/>
      </c>
      <c r="H250" s="12" t="str">
        <f t="shared" si="0"/>
        <v/>
      </c>
      <c r="I250" s="15" t="str">
        <f t="shared" si="1"/>
        <v/>
      </c>
      <c r="J250" s="16" t="str">
        <f t="shared" si="2"/>
        <v/>
      </c>
    </row>
    <row r="251" customHeight="1" spans="1:10">
      <c r="A251" s="8"/>
      <c r="B251" s="9"/>
      <c r="C251" s="9"/>
      <c r="D251" s="10"/>
      <c r="E251" s="10"/>
      <c r="F251" s="12" t="str">
        <f t="array" ref="F251">IF($B251="","",IFERROR(INDEX(Accounts!$B$2:$B$100,MATCH($B251,Accounts!$A$2:$A$100,0)),""))</f>
        <v/>
      </c>
      <c r="G251" s="12" t="str">
        <f t="array" ref="G251">IF($B251="","",IFERROR(INDEX(Accounts!$C$2:$C$100,MATCH($B251,Accounts!$A$2:$A$100,0)),""))</f>
        <v/>
      </c>
      <c r="H251" s="12" t="str">
        <f t="shared" si="0"/>
        <v/>
      </c>
      <c r="I251" s="15" t="str">
        <f t="shared" si="1"/>
        <v/>
      </c>
      <c r="J251" s="16" t="str">
        <f t="shared" si="2"/>
        <v/>
      </c>
    </row>
    <row r="252" customHeight="1" spans="1:10">
      <c r="A252" s="8"/>
      <c r="B252" s="9"/>
      <c r="C252" s="9"/>
      <c r="D252" s="10"/>
      <c r="E252" s="10"/>
      <c r="F252" s="12" t="str">
        <f t="array" ref="F252">IF($B252="","",IFERROR(INDEX(Accounts!$B$2:$B$100,MATCH($B252,Accounts!$A$2:$A$100,0)),""))</f>
        <v/>
      </c>
      <c r="G252" s="12" t="str">
        <f t="array" ref="G252">IF($B252="","",IFERROR(INDEX(Accounts!$C$2:$C$100,MATCH($B252,Accounts!$A$2:$A$100,0)),""))</f>
        <v/>
      </c>
      <c r="H252" s="12" t="str">
        <f t="shared" si="0"/>
        <v/>
      </c>
      <c r="I252" s="15" t="str">
        <f t="shared" si="1"/>
        <v/>
      </c>
      <c r="J252" s="16" t="str">
        <f t="shared" si="2"/>
        <v/>
      </c>
    </row>
    <row r="253" customHeight="1" spans="1:10">
      <c r="A253" s="8"/>
      <c r="B253" s="9"/>
      <c r="C253" s="9"/>
      <c r="D253" s="10"/>
      <c r="E253" s="10"/>
      <c r="F253" s="12" t="str">
        <f t="array" ref="F253">IF($B253="","",IFERROR(INDEX(Accounts!$B$2:$B$100,MATCH($B253,Accounts!$A$2:$A$100,0)),""))</f>
        <v/>
      </c>
      <c r="G253" s="12" t="str">
        <f t="array" ref="G253">IF($B253="","",IFERROR(INDEX(Accounts!$C$2:$C$100,MATCH($B253,Accounts!$A$2:$A$100,0)),""))</f>
        <v/>
      </c>
      <c r="H253" s="12" t="str">
        <f t="shared" si="0"/>
        <v/>
      </c>
      <c r="I253" s="15" t="str">
        <f t="shared" si="1"/>
        <v/>
      </c>
      <c r="J253" s="16" t="str">
        <f t="shared" si="2"/>
        <v/>
      </c>
    </row>
    <row r="254" customHeight="1" spans="1:10">
      <c r="A254" s="8"/>
      <c r="B254" s="9"/>
      <c r="C254" s="9"/>
      <c r="D254" s="10"/>
      <c r="E254" s="10"/>
      <c r="F254" s="12" t="str">
        <f t="array" ref="F254">IF($B254="","",IFERROR(INDEX(Accounts!$B$2:$B$100,MATCH($B254,Accounts!$A$2:$A$100,0)),""))</f>
        <v/>
      </c>
      <c r="G254" s="12" t="str">
        <f t="array" ref="G254">IF($B254="","",IFERROR(INDEX(Accounts!$C$2:$C$100,MATCH($B254,Accounts!$A$2:$A$100,0)),""))</f>
        <v/>
      </c>
      <c r="H254" s="12" t="str">
        <f t="shared" si="0"/>
        <v/>
      </c>
      <c r="I254" s="15" t="str">
        <f t="shared" si="1"/>
        <v/>
      </c>
      <c r="J254" s="16" t="str">
        <f t="shared" si="2"/>
        <v/>
      </c>
    </row>
    <row r="255" customHeight="1" spans="1:10">
      <c r="A255" s="8"/>
      <c r="B255" s="9"/>
      <c r="C255" s="9"/>
      <c r="D255" s="10"/>
      <c r="E255" s="10"/>
      <c r="F255" s="12" t="str">
        <f t="array" ref="F255">IF($B255="","",IFERROR(INDEX(Accounts!$B$2:$B$100,MATCH($B255,Accounts!$A$2:$A$100,0)),""))</f>
        <v/>
      </c>
      <c r="G255" s="12" t="str">
        <f t="array" ref="G255">IF($B255="","",IFERROR(INDEX(Accounts!$C$2:$C$100,MATCH($B255,Accounts!$A$2:$A$100,0)),""))</f>
        <v/>
      </c>
      <c r="H255" s="12" t="str">
        <f t="shared" si="0"/>
        <v/>
      </c>
      <c r="I255" s="15" t="str">
        <f t="shared" si="1"/>
        <v/>
      </c>
      <c r="J255" s="16" t="str">
        <f t="shared" si="2"/>
        <v/>
      </c>
    </row>
    <row r="256" customHeight="1" spans="1:10">
      <c r="A256" s="8"/>
      <c r="B256" s="9"/>
      <c r="C256" s="9"/>
      <c r="D256" s="10"/>
      <c r="E256" s="10"/>
      <c r="F256" s="12" t="str">
        <f t="array" ref="F256">IF($B256="","",IFERROR(INDEX(Accounts!$B$2:$B$100,MATCH($B256,Accounts!$A$2:$A$100,0)),""))</f>
        <v/>
      </c>
      <c r="G256" s="12" t="str">
        <f t="array" ref="G256">IF($B256="","",IFERROR(INDEX(Accounts!$C$2:$C$100,MATCH($B256,Accounts!$A$2:$A$100,0)),""))</f>
        <v/>
      </c>
      <c r="H256" s="12" t="str">
        <f t="shared" si="0"/>
        <v/>
      </c>
      <c r="I256" s="15" t="str">
        <f t="shared" si="1"/>
        <v/>
      </c>
      <c r="J256" s="16" t="str">
        <f t="shared" si="2"/>
        <v/>
      </c>
    </row>
    <row r="257" customHeight="1" spans="1:10">
      <c r="A257" s="8"/>
      <c r="B257" s="9"/>
      <c r="C257" s="9"/>
      <c r="D257" s="10"/>
      <c r="E257" s="10"/>
      <c r="F257" s="12" t="str">
        <f t="array" ref="F257">IF($B257="","",IFERROR(INDEX(Accounts!$B$2:$B$100,MATCH($B257,Accounts!$A$2:$A$100,0)),""))</f>
        <v/>
      </c>
      <c r="G257" s="12" t="str">
        <f t="array" ref="G257">IF($B257="","",IFERROR(INDEX(Accounts!$C$2:$C$100,MATCH($B257,Accounts!$A$2:$A$100,0)),""))</f>
        <v/>
      </c>
      <c r="H257" s="12" t="str">
        <f t="shared" si="0"/>
        <v/>
      </c>
      <c r="I257" s="15" t="str">
        <f t="shared" si="1"/>
        <v/>
      </c>
      <c r="J257" s="16" t="str">
        <f t="shared" si="2"/>
        <v/>
      </c>
    </row>
    <row r="258" customHeight="1" spans="1:10">
      <c r="A258" s="8"/>
      <c r="B258" s="9"/>
      <c r="C258" s="9"/>
      <c r="D258" s="10"/>
      <c r="E258" s="10"/>
      <c r="F258" s="12" t="str">
        <f t="array" ref="F258">IF($B258="","",IFERROR(INDEX(Accounts!$B$2:$B$100,MATCH($B258,Accounts!$A$2:$A$100,0)),""))</f>
        <v/>
      </c>
      <c r="G258" s="12" t="str">
        <f t="array" ref="G258">IF($B258="","",IFERROR(INDEX(Accounts!$C$2:$C$100,MATCH($B258,Accounts!$A$2:$A$100,0)),""))</f>
        <v/>
      </c>
      <c r="H258" s="12" t="str">
        <f t="shared" si="0"/>
        <v/>
      </c>
      <c r="I258" s="15" t="str">
        <f t="shared" si="1"/>
        <v/>
      </c>
      <c r="J258" s="16" t="str">
        <f t="shared" si="2"/>
        <v/>
      </c>
    </row>
    <row r="259" customHeight="1" spans="1:10">
      <c r="A259" s="8"/>
      <c r="B259" s="9"/>
      <c r="C259" s="9"/>
      <c r="D259" s="10"/>
      <c r="E259" s="10"/>
      <c r="F259" s="12" t="str">
        <f t="array" ref="F259">IF($B259="","",IFERROR(INDEX(Accounts!$B$2:$B$100,MATCH($B259,Accounts!$A$2:$A$100,0)),""))</f>
        <v/>
      </c>
      <c r="G259" s="12" t="str">
        <f t="array" ref="G259">IF($B259="","",IFERROR(INDEX(Accounts!$C$2:$C$100,MATCH($B259,Accounts!$A$2:$A$100,0)),""))</f>
        <v/>
      </c>
      <c r="H259" s="12" t="str">
        <f t="shared" si="0"/>
        <v/>
      </c>
      <c r="I259" s="15" t="str">
        <f t="shared" si="1"/>
        <v/>
      </c>
      <c r="J259" s="16" t="str">
        <f t="shared" si="2"/>
        <v/>
      </c>
    </row>
    <row r="260" customHeight="1" spans="1:10">
      <c r="A260" s="8"/>
      <c r="B260" s="9"/>
      <c r="C260" s="9"/>
      <c r="D260" s="10"/>
      <c r="E260" s="10"/>
      <c r="F260" s="12" t="str">
        <f t="array" ref="F260">IF($B260="","",IFERROR(INDEX(Accounts!$B$2:$B$100,MATCH($B260,Accounts!$A$2:$A$100,0)),""))</f>
        <v/>
      </c>
      <c r="G260" s="12" t="str">
        <f t="array" ref="G260">IF($B260="","",IFERROR(INDEX(Accounts!$C$2:$C$100,MATCH($B260,Accounts!$A$2:$A$100,0)),""))</f>
        <v/>
      </c>
      <c r="H260" s="12" t="str">
        <f t="shared" si="0"/>
        <v/>
      </c>
      <c r="I260" s="15" t="str">
        <f t="shared" si="1"/>
        <v/>
      </c>
      <c r="J260" s="16" t="str">
        <f t="shared" si="2"/>
        <v/>
      </c>
    </row>
    <row r="261" customHeight="1" spans="1:10">
      <c r="A261" s="8"/>
      <c r="B261" s="9"/>
      <c r="C261" s="9"/>
      <c r="D261" s="10"/>
      <c r="E261" s="10"/>
      <c r="F261" s="12" t="str">
        <f t="array" ref="F261">IF($B261="","",IFERROR(INDEX(Accounts!$B$2:$B$100,MATCH($B261,Accounts!$A$2:$A$100,0)),""))</f>
        <v/>
      </c>
      <c r="G261" s="12" t="str">
        <f t="array" ref="G261">IF($B261="","",IFERROR(INDEX(Accounts!$C$2:$C$100,MATCH($B261,Accounts!$A$2:$A$100,0)),""))</f>
        <v/>
      </c>
      <c r="H261" s="12" t="str">
        <f t="shared" si="0"/>
        <v/>
      </c>
      <c r="I261" s="15" t="str">
        <f t="shared" si="1"/>
        <v/>
      </c>
      <c r="J261" s="16" t="str">
        <f t="shared" si="2"/>
        <v/>
      </c>
    </row>
    <row r="262" customHeight="1" spans="1:10">
      <c r="A262" s="8"/>
      <c r="B262" s="9"/>
      <c r="C262" s="9"/>
      <c r="D262" s="10"/>
      <c r="E262" s="10"/>
      <c r="F262" s="12" t="str">
        <f t="array" ref="F262">IF($B262="","",IFERROR(INDEX(Accounts!$B$2:$B$100,MATCH($B262,Accounts!$A$2:$A$100,0)),""))</f>
        <v/>
      </c>
      <c r="G262" s="12" t="str">
        <f t="array" ref="G262">IF($B262="","",IFERROR(INDEX(Accounts!$C$2:$C$100,MATCH($B262,Accounts!$A$2:$A$100,0)),""))</f>
        <v/>
      </c>
      <c r="H262" s="12" t="str">
        <f t="shared" si="0"/>
        <v/>
      </c>
      <c r="I262" s="15" t="str">
        <f t="shared" si="1"/>
        <v/>
      </c>
      <c r="J262" s="16" t="str">
        <f t="shared" si="2"/>
        <v/>
      </c>
    </row>
    <row r="263" customHeight="1" spans="1:10">
      <c r="A263" s="8"/>
      <c r="B263" s="9"/>
      <c r="C263" s="9"/>
      <c r="D263" s="10"/>
      <c r="E263" s="10"/>
      <c r="F263" s="12" t="str">
        <f t="array" ref="F263">IF($B263="","",IFERROR(INDEX(Accounts!$B$2:$B$100,MATCH($B263,Accounts!$A$2:$A$100,0)),""))</f>
        <v/>
      </c>
      <c r="G263" s="12" t="str">
        <f t="array" ref="G263">IF($B263="","",IFERROR(INDEX(Accounts!$C$2:$C$100,MATCH($B263,Accounts!$A$2:$A$100,0)),""))</f>
        <v/>
      </c>
      <c r="H263" s="12" t="str">
        <f t="shared" si="0"/>
        <v/>
      </c>
      <c r="I263" s="15" t="str">
        <f t="shared" si="1"/>
        <v/>
      </c>
      <c r="J263" s="16" t="str">
        <f t="shared" si="2"/>
        <v/>
      </c>
    </row>
    <row r="264" customHeight="1" spans="1:10">
      <c r="A264" s="8"/>
      <c r="B264" s="9"/>
      <c r="C264" s="9"/>
      <c r="D264" s="10"/>
      <c r="E264" s="10"/>
      <c r="F264" s="12" t="str">
        <f t="array" ref="F264">IF($B264="","",IFERROR(INDEX(Accounts!$B$2:$B$100,MATCH($B264,Accounts!$A$2:$A$100,0)),""))</f>
        <v/>
      </c>
      <c r="G264" s="12" t="str">
        <f t="array" ref="G264">IF($B264="","",IFERROR(INDEX(Accounts!$C$2:$C$100,MATCH($B264,Accounts!$A$2:$A$100,0)),""))</f>
        <v/>
      </c>
      <c r="H264" s="12" t="str">
        <f t="shared" si="0"/>
        <v/>
      </c>
      <c r="I264" s="15" t="str">
        <f t="shared" si="1"/>
        <v/>
      </c>
      <c r="J264" s="16" t="str">
        <f t="shared" si="2"/>
        <v/>
      </c>
    </row>
    <row r="265" customHeight="1" spans="1:10">
      <c r="A265" s="8"/>
      <c r="B265" s="9"/>
      <c r="C265" s="9"/>
      <c r="D265" s="10"/>
      <c r="E265" s="10"/>
      <c r="F265" s="12" t="str">
        <f t="array" ref="F265">IF($B265="","",IFERROR(INDEX(Accounts!$B$2:$B$100,MATCH($B265,Accounts!$A$2:$A$100,0)),""))</f>
        <v/>
      </c>
      <c r="G265" s="12" t="str">
        <f t="array" ref="G265">IF($B265="","",IFERROR(INDEX(Accounts!$C$2:$C$100,MATCH($B265,Accounts!$A$2:$A$100,0)),""))</f>
        <v/>
      </c>
      <c r="H265" s="12" t="str">
        <f t="shared" si="0"/>
        <v/>
      </c>
      <c r="I265" s="15" t="str">
        <f t="shared" si="1"/>
        <v/>
      </c>
      <c r="J265" s="16" t="str">
        <f t="shared" si="2"/>
        <v/>
      </c>
    </row>
    <row r="266" customHeight="1" spans="1:10">
      <c r="A266" s="8"/>
      <c r="B266" s="9"/>
      <c r="C266" s="9"/>
      <c r="D266" s="10"/>
      <c r="E266" s="10"/>
      <c r="F266" s="12" t="str">
        <f t="array" ref="F266">IF($B266="","",IFERROR(INDEX(Accounts!$B$2:$B$100,MATCH($B266,Accounts!$A$2:$A$100,0)),""))</f>
        <v/>
      </c>
      <c r="G266" s="12" t="str">
        <f t="array" ref="G266">IF($B266="","",IFERROR(INDEX(Accounts!$C$2:$C$100,MATCH($B266,Accounts!$A$2:$A$100,0)),""))</f>
        <v/>
      </c>
      <c r="H266" s="12" t="str">
        <f t="shared" si="0"/>
        <v/>
      </c>
      <c r="I266" s="15" t="str">
        <f t="shared" si="1"/>
        <v/>
      </c>
      <c r="J266" s="16" t="str">
        <f t="shared" si="2"/>
        <v/>
      </c>
    </row>
    <row r="267" customHeight="1" spans="1:10">
      <c r="A267" s="8"/>
      <c r="B267" s="9"/>
      <c r="C267" s="9"/>
      <c r="D267" s="10"/>
      <c r="E267" s="10"/>
      <c r="F267" s="12" t="str">
        <f t="array" ref="F267">IF($B267="","",IFERROR(INDEX(Accounts!$B$2:$B$100,MATCH($B267,Accounts!$A$2:$A$100,0)),""))</f>
        <v/>
      </c>
      <c r="G267" s="12" t="str">
        <f t="array" ref="G267">IF($B267="","",IFERROR(INDEX(Accounts!$C$2:$C$100,MATCH($B267,Accounts!$A$2:$A$100,0)),""))</f>
        <v/>
      </c>
      <c r="H267" s="12" t="str">
        <f t="shared" si="0"/>
        <v/>
      </c>
      <c r="I267" s="15" t="str">
        <f t="shared" si="1"/>
        <v/>
      </c>
      <c r="J267" s="16" t="str">
        <f t="shared" si="2"/>
        <v/>
      </c>
    </row>
    <row r="268" customHeight="1" spans="1:10">
      <c r="A268" s="8"/>
      <c r="B268" s="9"/>
      <c r="C268" s="9"/>
      <c r="D268" s="10"/>
      <c r="E268" s="10"/>
      <c r="F268" s="12" t="str">
        <f t="array" ref="F268">IF($B268="","",IFERROR(INDEX(Accounts!$B$2:$B$100,MATCH($B268,Accounts!$A$2:$A$100,0)),""))</f>
        <v/>
      </c>
      <c r="G268" s="12" t="str">
        <f t="array" ref="G268">IF($B268="","",IFERROR(INDEX(Accounts!$C$2:$C$100,MATCH($B268,Accounts!$A$2:$A$100,0)),""))</f>
        <v/>
      </c>
      <c r="H268" s="12" t="str">
        <f t="shared" si="0"/>
        <v/>
      </c>
      <c r="I268" s="15" t="str">
        <f t="shared" si="1"/>
        <v/>
      </c>
      <c r="J268" s="16" t="str">
        <f t="shared" si="2"/>
        <v/>
      </c>
    </row>
    <row r="269" customHeight="1" spans="1:10">
      <c r="A269" s="8"/>
      <c r="B269" s="9"/>
      <c r="C269" s="9"/>
      <c r="D269" s="10"/>
      <c r="E269" s="10"/>
      <c r="F269" s="12" t="str">
        <f t="array" ref="F269">IF($B269="","",IFERROR(INDEX(Accounts!$B$2:$B$100,MATCH($B269,Accounts!$A$2:$A$100,0)),""))</f>
        <v/>
      </c>
      <c r="G269" s="12" t="str">
        <f t="array" ref="G269">IF($B269="","",IFERROR(INDEX(Accounts!$C$2:$C$100,MATCH($B269,Accounts!$A$2:$A$100,0)),""))</f>
        <v/>
      </c>
      <c r="H269" s="12" t="str">
        <f t="shared" si="0"/>
        <v/>
      </c>
      <c r="I269" s="15" t="str">
        <f t="shared" si="1"/>
        <v/>
      </c>
      <c r="J269" s="16" t="str">
        <f t="shared" si="2"/>
        <v/>
      </c>
    </row>
    <row r="270" customHeight="1" spans="1:10">
      <c r="A270" s="8"/>
      <c r="B270" s="9"/>
      <c r="C270" s="9"/>
      <c r="D270" s="10"/>
      <c r="E270" s="10"/>
      <c r="F270" s="12" t="str">
        <f t="array" ref="F270">IF($B270="","",IFERROR(INDEX(Accounts!$B$2:$B$100,MATCH($B270,Accounts!$A$2:$A$100,0)),""))</f>
        <v/>
      </c>
      <c r="G270" s="12" t="str">
        <f t="array" ref="G270">IF($B270="","",IFERROR(INDEX(Accounts!$C$2:$C$100,MATCH($B270,Accounts!$A$2:$A$100,0)),""))</f>
        <v/>
      </c>
      <c r="H270" s="12" t="str">
        <f t="shared" si="0"/>
        <v/>
      </c>
      <c r="I270" s="15" t="str">
        <f t="shared" si="1"/>
        <v/>
      </c>
      <c r="J270" s="16" t="str">
        <f t="shared" si="2"/>
        <v/>
      </c>
    </row>
    <row r="271" customHeight="1" spans="1:10">
      <c r="A271" s="8"/>
      <c r="B271" s="9"/>
      <c r="C271" s="9"/>
      <c r="D271" s="10"/>
      <c r="E271" s="10"/>
      <c r="F271" s="12" t="str">
        <f t="array" ref="F271">IF($B271="","",IFERROR(INDEX(Accounts!$B$2:$B$100,MATCH($B271,Accounts!$A$2:$A$100,0)),""))</f>
        <v/>
      </c>
      <c r="G271" s="12" t="str">
        <f t="array" ref="G271">IF($B271="","",IFERROR(INDEX(Accounts!$C$2:$C$100,MATCH($B271,Accounts!$A$2:$A$100,0)),""))</f>
        <v/>
      </c>
      <c r="H271" s="12" t="str">
        <f t="shared" si="0"/>
        <v/>
      </c>
      <c r="I271" s="15" t="str">
        <f t="shared" si="1"/>
        <v/>
      </c>
      <c r="J271" s="16" t="str">
        <f t="shared" si="2"/>
        <v/>
      </c>
    </row>
    <row r="272" customHeight="1" spans="1:10">
      <c r="A272" s="8"/>
      <c r="B272" s="9"/>
      <c r="C272" s="9"/>
      <c r="D272" s="10"/>
      <c r="E272" s="10"/>
      <c r="F272" s="12" t="str">
        <f t="array" ref="F272">IF($B272="","",IFERROR(INDEX(Accounts!$B$2:$B$100,MATCH($B272,Accounts!$A$2:$A$100,0)),""))</f>
        <v/>
      </c>
      <c r="G272" s="12" t="str">
        <f t="array" ref="G272">IF($B272="","",IFERROR(INDEX(Accounts!$C$2:$C$100,MATCH($B272,Accounts!$A$2:$A$100,0)),""))</f>
        <v/>
      </c>
      <c r="H272" s="12" t="str">
        <f t="shared" si="0"/>
        <v/>
      </c>
      <c r="I272" s="15" t="str">
        <f t="shared" si="1"/>
        <v/>
      </c>
      <c r="J272" s="16" t="str">
        <f t="shared" si="2"/>
        <v/>
      </c>
    </row>
    <row r="273" customHeight="1" spans="1:10">
      <c r="A273" s="8"/>
      <c r="B273" s="9"/>
      <c r="C273" s="9"/>
      <c r="D273" s="10"/>
      <c r="E273" s="10"/>
      <c r="F273" s="12" t="str">
        <f t="array" ref="F273">IF($B273="","",IFERROR(INDEX(Accounts!$B$2:$B$100,MATCH($B273,Accounts!$A$2:$A$100,0)),""))</f>
        <v/>
      </c>
      <c r="G273" s="12" t="str">
        <f t="array" ref="G273">IF($B273="","",IFERROR(INDEX(Accounts!$C$2:$C$100,MATCH($B273,Accounts!$A$2:$A$100,0)),""))</f>
        <v/>
      </c>
      <c r="H273" s="12" t="str">
        <f t="shared" si="0"/>
        <v/>
      </c>
      <c r="I273" s="15" t="str">
        <f t="shared" si="1"/>
        <v/>
      </c>
      <c r="J273" s="16" t="str">
        <f t="shared" si="2"/>
        <v/>
      </c>
    </row>
    <row r="274" customHeight="1" spans="1:10">
      <c r="A274" s="8"/>
      <c r="B274" s="9"/>
      <c r="C274" s="9"/>
      <c r="D274" s="10"/>
      <c r="E274" s="10"/>
      <c r="F274" s="12" t="str">
        <f t="array" ref="F274">IF($B274="","",IFERROR(INDEX(Accounts!$B$2:$B$100,MATCH($B274,Accounts!$A$2:$A$100,0)),""))</f>
        <v/>
      </c>
      <c r="G274" s="12" t="str">
        <f t="array" ref="G274">IF($B274="","",IFERROR(INDEX(Accounts!$C$2:$C$100,MATCH($B274,Accounts!$A$2:$A$100,0)),""))</f>
        <v/>
      </c>
      <c r="H274" s="12" t="str">
        <f t="shared" si="0"/>
        <v/>
      </c>
      <c r="I274" s="15" t="str">
        <f t="shared" si="1"/>
        <v/>
      </c>
      <c r="J274" s="16" t="str">
        <f t="shared" si="2"/>
        <v/>
      </c>
    </row>
    <row r="275" customHeight="1" spans="1:10">
      <c r="A275" s="8"/>
      <c r="B275" s="9"/>
      <c r="C275" s="9"/>
      <c r="D275" s="10"/>
      <c r="E275" s="10"/>
      <c r="F275" s="12" t="str">
        <f t="array" ref="F275">IF($B275="","",IFERROR(INDEX(Accounts!$B$2:$B$100,MATCH($B275,Accounts!$A$2:$A$100,0)),""))</f>
        <v/>
      </c>
      <c r="G275" s="12" t="str">
        <f t="array" ref="G275">IF($B275="","",IFERROR(INDEX(Accounts!$C$2:$C$100,MATCH($B275,Accounts!$A$2:$A$100,0)),""))</f>
        <v/>
      </c>
      <c r="H275" s="12" t="str">
        <f t="shared" si="0"/>
        <v/>
      </c>
      <c r="I275" s="15" t="str">
        <f t="shared" si="1"/>
        <v/>
      </c>
      <c r="J275" s="16" t="str">
        <f t="shared" si="2"/>
        <v/>
      </c>
    </row>
    <row r="276" customHeight="1" spans="1:10">
      <c r="A276" s="8"/>
      <c r="B276" s="9"/>
      <c r="C276" s="9"/>
      <c r="D276" s="10"/>
      <c r="E276" s="10"/>
      <c r="F276" s="12" t="str">
        <f t="array" ref="F276">IF($B276="","",IFERROR(INDEX(Accounts!$B$2:$B$100,MATCH($B276,Accounts!$A$2:$A$100,0)),""))</f>
        <v/>
      </c>
      <c r="G276" s="12" t="str">
        <f t="array" ref="G276">IF($B276="","",IFERROR(INDEX(Accounts!$C$2:$C$100,MATCH($B276,Accounts!$A$2:$A$100,0)),""))</f>
        <v/>
      </c>
      <c r="H276" s="12" t="str">
        <f t="shared" si="0"/>
        <v/>
      </c>
      <c r="I276" s="15" t="str">
        <f t="shared" si="1"/>
        <v/>
      </c>
      <c r="J276" s="16" t="str">
        <f t="shared" si="2"/>
        <v/>
      </c>
    </row>
    <row r="277" customHeight="1" spans="1:10">
      <c r="A277" s="8"/>
      <c r="B277" s="9"/>
      <c r="C277" s="9"/>
      <c r="D277" s="10"/>
      <c r="E277" s="10"/>
      <c r="F277" s="12" t="str">
        <f t="array" ref="F277">IF($B277="","",IFERROR(INDEX(Accounts!$B$2:$B$100,MATCH($B277,Accounts!$A$2:$A$100,0)),""))</f>
        <v/>
      </c>
      <c r="G277" s="12" t="str">
        <f t="array" ref="G277">IF($B277="","",IFERROR(INDEX(Accounts!$C$2:$C$100,MATCH($B277,Accounts!$A$2:$A$100,0)),""))</f>
        <v/>
      </c>
      <c r="H277" s="12" t="str">
        <f t="shared" si="0"/>
        <v/>
      </c>
      <c r="I277" s="15" t="str">
        <f t="shared" si="1"/>
        <v/>
      </c>
      <c r="J277" s="16" t="str">
        <f t="shared" si="2"/>
        <v/>
      </c>
    </row>
    <row r="278" customHeight="1" spans="1:10">
      <c r="A278" s="8"/>
      <c r="B278" s="9"/>
      <c r="C278" s="9"/>
      <c r="D278" s="10"/>
      <c r="E278" s="10"/>
      <c r="F278" s="12" t="str">
        <f t="array" ref="F278">IF($B278="","",IFERROR(INDEX(Accounts!$B$2:$B$100,MATCH($B278,Accounts!$A$2:$A$100,0)),""))</f>
        <v/>
      </c>
      <c r="G278" s="12" t="str">
        <f t="array" ref="G278">IF($B278="","",IFERROR(INDEX(Accounts!$C$2:$C$100,MATCH($B278,Accounts!$A$2:$A$100,0)),""))</f>
        <v/>
      </c>
      <c r="H278" s="12" t="str">
        <f t="shared" si="0"/>
        <v/>
      </c>
      <c r="I278" s="15" t="str">
        <f t="shared" si="1"/>
        <v/>
      </c>
      <c r="J278" s="16" t="str">
        <f t="shared" si="2"/>
        <v/>
      </c>
    </row>
    <row r="279" customHeight="1" spans="1:10">
      <c r="A279" s="8"/>
      <c r="B279" s="9"/>
      <c r="C279" s="9"/>
      <c r="D279" s="10"/>
      <c r="E279" s="10"/>
      <c r="F279" s="12" t="str">
        <f t="array" ref="F279">IF($B279="","",IFERROR(INDEX(Accounts!$B$2:$B$100,MATCH($B279,Accounts!$A$2:$A$100,0)),""))</f>
        <v/>
      </c>
      <c r="G279" s="12" t="str">
        <f t="array" ref="G279">IF($B279="","",IFERROR(INDEX(Accounts!$C$2:$C$100,MATCH($B279,Accounts!$A$2:$A$100,0)),""))</f>
        <v/>
      </c>
      <c r="H279" s="12" t="str">
        <f t="shared" si="0"/>
        <v/>
      </c>
      <c r="I279" s="15" t="str">
        <f t="shared" si="1"/>
        <v/>
      </c>
      <c r="J279" s="16" t="str">
        <f t="shared" si="2"/>
        <v/>
      </c>
    </row>
    <row r="280" customHeight="1" spans="1:10">
      <c r="A280" s="8"/>
      <c r="B280" s="9"/>
      <c r="C280" s="9"/>
      <c r="D280" s="10"/>
      <c r="E280" s="10"/>
      <c r="F280" s="12" t="str">
        <f t="array" ref="F280">IF($B280="","",IFERROR(INDEX(Accounts!$B$2:$B$100,MATCH($B280,Accounts!$A$2:$A$100,0)),""))</f>
        <v/>
      </c>
      <c r="G280" s="12" t="str">
        <f t="array" ref="G280">IF($B280="","",IFERROR(INDEX(Accounts!$C$2:$C$100,MATCH($B280,Accounts!$A$2:$A$100,0)),""))</f>
        <v/>
      </c>
      <c r="H280" s="12" t="str">
        <f t="shared" si="0"/>
        <v/>
      </c>
      <c r="I280" s="15" t="str">
        <f t="shared" si="1"/>
        <v/>
      </c>
      <c r="J280" s="16" t="str">
        <f t="shared" si="2"/>
        <v/>
      </c>
    </row>
    <row r="281" customHeight="1" spans="1:10">
      <c r="A281" s="8"/>
      <c r="B281" s="9"/>
      <c r="C281" s="9"/>
      <c r="D281" s="10"/>
      <c r="E281" s="10"/>
      <c r="F281" s="12" t="str">
        <f t="array" ref="F281">IF($B281="","",IFERROR(INDEX(Accounts!$B$2:$B$100,MATCH($B281,Accounts!$A$2:$A$100,0)),""))</f>
        <v/>
      </c>
      <c r="G281" s="12" t="str">
        <f t="array" ref="G281">IF($B281="","",IFERROR(INDEX(Accounts!$C$2:$C$100,MATCH($B281,Accounts!$A$2:$A$100,0)),""))</f>
        <v/>
      </c>
      <c r="H281" s="12" t="str">
        <f t="shared" si="0"/>
        <v/>
      </c>
      <c r="I281" s="15" t="str">
        <f t="shared" si="1"/>
        <v/>
      </c>
      <c r="J281" s="16" t="str">
        <f t="shared" si="2"/>
        <v/>
      </c>
    </row>
    <row r="282" customHeight="1" spans="1:10">
      <c r="A282" s="8"/>
      <c r="B282" s="9"/>
      <c r="C282" s="9"/>
      <c r="D282" s="10"/>
      <c r="E282" s="10"/>
      <c r="F282" s="12" t="str">
        <f t="array" ref="F282">IF($B282="","",IFERROR(INDEX(Accounts!$B$2:$B$100,MATCH($B282,Accounts!$A$2:$A$100,0)),""))</f>
        <v/>
      </c>
      <c r="G282" s="12" t="str">
        <f t="array" ref="G282">IF($B282="","",IFERROR(INDEX(Accounts!$C$2:$C$100,MATCH($B282,Accounts!$A$2:$A$100,0)),""))</f>
        <v/>
      </c>
      <c r="H282" s="12" t="str">
        <f t="shared" si="0"/>
        <v/>
      </c>
      <c r="I282" s="15" t="str">
        <f t="shared" si="1"/>
        <v/>
      </c>
      <c r="J282" s="16" t="str">
        <f t="shared" si="2"/>
        <v/>
      </c>
    </row>
    <row r="283" customHeight="1" spans="1:10">
      <c r="A283" s="8"/>
      <c r="B283" s="9"/>
      <c r="C283" s="9"/>
      <c r="D283" s="10"/>
      <c r="E283" s="10"/>
      <c r="F283" s="12" t="str">
        <f t="array" ref="F283">IF($B283="","",IFERROR(INDEX(Accounts!$B$2:$B$100,MATCH($B283,Accounts!$A$2:$A$100,0)),""))</f>
        <v/>
      </c>
      <c r="G283" s="12" t="str">
        <f t="array" ref="G283">IF($B283="","",IFERROR(INDEX(Accounts!$C$2:$C$100,MATCH($B283,Accounts!$A$2:$A$100,0)),""))</f>
        <v/>
      </c>
      <c r="H283" s="12" t="str">
        <f t="shared" si="0"/>
        <v/>
      </c>
      <c r="I283" s="15" t="str">
        <f t="shared" si="1"/>
        <v/>
      </c>
      <c r="J283" s="16" t="str">
        <f t="shared" si="2"/>
        <v/>
      </c>
    </row>
    <row r="284" customHeight="1" spans="1:10">
      <c r="A284" s="8"/>
      <c r="B284" s="9"/>
      <c r="C284" s="9"/>
      <c r="D284" s="10"/>
      <c r="E284" s="10"/>
      <c r="F284" s="12" t="str">
        <f t="array" ref="F284">IF($B284="","",IFERROR(INDEX(Accounts!$B$2:$B$100,MATCH($B284,Accounts!$A$2:$A$100,0)),""))</f>
        <v/>
      </c>
      <c r="G284" s="12" t="str">
        <f t="array" ref="G284">IF($B284="","",IFERROR(INDEX(Accounts!$C$2:$C$100,MATCH($B284,Accounts!$A$2:$A$100,0)),""))</f>
        <v/>
      </c>
      <c r="H284" s="12" t="str">
        <f t="shared" si="0"/>
        <v/>
      </c>
      <c r="I284" s="15" t="str">
        <f t="shared" si="1"/>
        <v/>
      </c>
      <c r="J284" s="16" t="str">
        <f t="shared" si="2"/>
        <v/>
      </c>
    </row>
    <row r="285" customHeight="1" spans="1:10">
      <c r="A285" s="8"/>
      <c r="B285" s="9"/>
      <c r="C285" s="9"/>
      <c r="D285" s="10"/>
      <c r="E285" s="10"/>
      <c r="F285" s="12" t="str">
        <f t="array" ref="F285">IF($B285="","",IFERROR(INDEX(Accounts!$B$2:$B$100,MATCH($B285,Accounts!$A$2:$A$100,0)),""))</f>
        <v/>
      </c>
      <c r="G285" s="12" t="str">
        <f t="array" ref="G285">IF($B285="","",IFERROR(INDEX(Accounts!$C$2:$C$100,MATCH($B285,Accounts!$A$2:$A$100,0)),""))</f>
        <v/>
      </c>
      <c r="H285" s="12" t="str">
        <f t="shared" si="0"/>
        <v/>
      </c>
      <c r="I285" s="15" t="str">
        <f t="shared" si="1"/>
        <v/>
      </c>
      <c r="J285" s="16" t="str">
        <f t="shared" si="2"/>
        <v/>
      </c>
    </row>
    <row r="286" customHeight="1" spans="1:10">
      <c r="A286" s="8"/>
      <c r="B286" s="9"/>
      <c r="C286" s="9"/>
      <c r="D286" s="10"/>
      <c r="E286" s="10"/>
      <c r="F286" s="12" t="str">
        <f t="array" ref="F286">IF($B286="","",IFERROR(INDEX(Accounts!$B$2:$B$100,MATCH($B286,Accounts!$A$2:$A$100,0)),""))</f>
        <v/>
      </c>
      <c r="G286" s="12" t="str">
        <f t="array" ref="G286">IF($B286="","",IFERROR(INDEX(Accounts!$C$2:$C$100,MATCH($B286,Accounts!$A$2:$A$100,0)),""))</f>
        <v/>
      </c>
      <c r="H286" s="12" t="str">
        <f t="shared" si="0"/>
        <v/>
      </c>
      <c r="I286" s="15" t="str">
        <f t="shared" si="1"/>
        <v/>
      </c>
      <c r="J286" s="16" t="str">
        <f t="shared" si="2"/>
        <v/>
      </c>
    </row>
    <row r="287" customHeight="1" spans="1:10">
      <c r="A287" s="8"/>
      <c r="B287" s="9"/>
      <c r="C287" s="9"/>
      <c r="D287" s="10"/>
      <c r="E287" s="10"/>
      <c r="F287" s="12" t="str">
        <f t="array" ref="F287">IF($B287="","",IFERROR(INDEX(Accounts!$B$2:$B$100,MATCH($B287,Accounts!$A$2:$A$100,0)),""))</f>
        <v/>
      </c>
      <c r="G287" s="12" t="str">
        <f t="array" ref="G287">IF($B287="","",IFERROR(INDEX(Accounts!$C$2:$C$100,MATCH($B287,Accounts!$A$2:$A$100,0)),""))</f>
        <v/>
      </c>
      <c r="H287" s="12" t="str">
        <f t="shared" si="0"/>
        <v/>
      </c>
      <c r="I287" s="15" t="str">
        <f t="shared" si="1"/>
        <v/>
      </c>
      <c r="J287" s="16" t="str">
        <f t="shared" si="2"/>
        <v/>
      </c>
    </row>
    <row r="288" customHeight="1" spans="1:10">
      <c r="A288" s="8"/>
      <c r="B288" s="9"/>
      <c r="C288" s="9"/>
      <c r="D288" s="10"/>
      <c r="E288" s="10"/>
      <c r="F288" s="12" t="str">
        <f t="array" ref="F288">IF($B288="","",IFERROR(INDEX(Accounts!$B$2:$B$100,MATCH($B288,Accounts!$A$2:$A$100,0)),""))</f>
        <v/>
      </c>
      <c r="G288" s="12" t="str">
        <f t="array" ref="G288">IF($B288="","",IFERROR(INDEX(Accounts!$C$2:$C$100,MATCH($B288,Accounts!$A$2:$A$100,0)),""))</f>
        <v/>
      </c>
      <c r="H288" s="12" t="str">
        <f t="shared" si="0"/>
        <v/>
      </c>
      <c r="I288" s="15" t="str">
        <f t="shared" si="1"/>
        <v/>
      </c>
      <c r="J288" s="16" t="str">
        <f t="shared" si="2"/>
        <v/>
      </c>
    </row>
    <row r="289" customHeight="1" spans="1:10">
      <c r="A289" s="8"/>
      <c r="B289" s="9"/>
      <c r="C289" s="9"/>
      <c r="D289" s="10"/>
      <c r="E289" s="10"/>
      <c r="F289" s="12" t="str">
        <f t="array" ref="F289">IF($B289="","",IFERROR(INDEX(Accounts!$B$2:$B$100,MATCH($B289,Accounts!$A$2:$A$100,0)),""))</f>
        <v/>
      </c>
      <c r="G289" s="12" t="str">
        <f t="array" ref="G289">IF($B289="","",IFERROR(INDEX(Accounts!$C$2:$C$100,MATCH($B289,Accounts!$A$2:$A$100,0)),""))</f>
        <v/>
      </c>
      <c r="H289" s="12" t="str">
        <f t="shared" si="0"/>
        <v/>
      </c>
      <c r="I289" s="15" t="str">
        <f t="shared" si="1"/>
        <v/>
      </c>
      <c r="J289" s="16" t="str">
        <f t="shared" si="2"/>
        <v/>
      </c>
    </row>
    <row r="290" customHeight="1" spans="1:10">
      <c r="A290" s="8"/>
      <c r="B290" s="9"/>
      <c r="C290" s="9"/>
      <c r="D290" s="10"/>
      <c r="E290" s="10"/>
      <c r="F290" s="12" t="str">
        <f t="array" ref="F290">IF($B290="","",IFERROR(INDEX(Accounts!$B$2:$B$100,MATCH($B290,Accounts!$A$2:$A$100,0)),""))</f>
        <v/>
      </c>
      <c r="G290" s="12" t="str">
        <f t="array" ref="G290">IF($B290="","",IFERROR(INDEX(Accounts!$C$2:$C$100,MATCH($B290,Accounts!$A$2:$A$100,0)),""))</f>
        <v/>
      </c>
      <c r="H290" s="12" t="str">
        <f t="shared" si="0"/>
        <v/>
      </c>
      <c r="I290" s="15" t="str">
        <f t="shared" si="1"/>
        <v/>
      </c>
      <c r="J290" s="16" t="str">
        <f t="shared" si="2"/>
        <v/>
      </c>
    </row>
    <row r="291" customHeight="1" spans="1:10">
      <c r="A291" s="8"/>
      <c r="B291" s="9"/>
      <c r="C291" s="9"/>
      <c r="D291" s="10"/>
      <c r="E291" s="10"/>
      <c r="F291" s="12" t="str">
        <f t="array" ref="F291">IF($B291="","",IFERROR(INDEX(Accounts!$B$2:$B$100,MATCH($B291,Accounts!$A$2:$A$100,0)),""))</f>
        <v/>
      </c>
      <c r="G291" s="12" t="str">
        <f t="array" ref="G291">IF($B291="","",IFERROR(INDEX(Accounts!$C$2:$C$100,MATCH($B291,Accounts!$A$2:$A$100,0)),""))</f>
        <v/>
      </c>
      <c r="H291" s="12" t="str">
        <f t="shared" si="0"/>
        <v/>
      </c>
      <c r="I291" s="15" t="str">
        <f t="shared" si="1"/>
        <v/>
      </c>
      <c r="J291" s="16" t="str">
        <f t="shared" si="2"/>
        <v/>
      </c>
    </row>
    <row r="292" customHeight="1" spans="1:10">
      <c r="A292" s="8"/>
      <c r="B292" s="9"/>
      <c r="C292" s="9"/>
      <c r="D292" s="10"/>
      <c r="E292" s="10"/>
      <c r="F292" s="12" t="str">
        <f t="array" ref="F292">IF($B292="","",IFERROR(INDEX(Accounts!$B$2:$B$100,MATCH($B292,Accounts!$A$2:$A$100,0)),""))</f>
        <v/>
      </c>
      <c r="G292" s="12" t="str">
        <f t="array" ref="G292">IF($B292="","",IFERROR(INDEX(Accounts!$C$2:$C$100,MATCH($B292,Accounts!$A$2:$A$100,0)),""))</f>
        <v/>
      </c>
      <c r="H292" s="12" t="str">
        <f t="shared" si="0"/>
        <v/>
      </c>
      <c r="I292" s="15" t="str">
        <f t="shared" si="1"/>
        <v/>
      </c>
      <c r="J292" s="16" t="str">
        <f t="shared" si="2"/>
        <v/>
      </c>
    </row>
    <row r="293" customHeight="1" spans="1:10">
      <c r="A293" s="8"/>
      <c r="B293" s="9"/>
      <c r="C293" s="9"/>
      <c r="D293" s="10"/>
      <c r="E293" s="10"/>
      <c r="F293" s="12" t="str">
        <f t="array" ref="F293">IF($B293="","",IFERROR(INDEX(Accounts!$B$2:$B$100,MATCH($B293,Accounts!$A$2:$A$100,0)),""))</f>
        <v/>
      </c>
      <c r="G293" s="12" t="str">
        <f t="array" ref="G293">IF($B293="","",IFERROR(INDEX(Accounts!$C$2:$C$100,MATCH($B293,Accounts!$A$2:$A$100,0)),""))</f>
        <v/>
      </c>
      <c r="H293" s="12" t="str">
        <f t="shared" si="0"/>
        <v/>
      </c>
      <c r="I293" s="15" t="str">
        <f t="shared" si="1"/>
        <v/>
      </c>
      <c r="J293" s="16" t="str">
        <f t="shared" si="2"/>
        <v/>
      </c>
    </row>
    <row r="294" customHeight="1" spans="1:10">
      <c r="A294" s="8"/>
      <c r="B294" s="9"/>
      <c r="C294" s="9"/>
      <c r="D294" s="10"/>
      <c r="E294" s="10"/>
      <c r="F294" s="12" t="str">
        <f t="array" ref="F294">IF($B294="","",IFERROR(INDEX(Accounts!$B$2:$B$100,MATCH($B294,Accounts!$A$2:$A$100,0)),""))</f>
        <v/>
      </c>
      <c r="G294" s="12" t="str">
        <f t="array" ref="G294">IF($B294="","",IFERROR(INDEX(Accounts!$C$2:$C$100,MATCH($B294,Accounts!$A$2:$A$100,0)),""))</f>
        <v/>
      </c>
      <c r="H294" s="12" t="str">
        <f t="shared" si="0"/>
        <v/>
      </c>
      <c r="I294" s="15" t="str">
        <f t="shared" si="1"/>
        <v/>
      </c>
      <c r="J294" s="16" t="str">
        <f t="shared" si="2"/>
        <v/>
      </c>
    </row>
    <row r="295" customHeight="1" spans="1:10">
      <c r="A295" s="8"/>
      <c r="B295" s="9"/>
      <c r="C295" s="9"/>
      <c r="D295" s="10"/>
      <c r="E295" s="10"/>
      <c r="F295" s="12" t="str">
        <f t="array" ref="F295">IF($B295="","",IFERROR(INDEX(Accounts!$B$2:$B$100,MATCH($B295,Accounts!$A$2:$A$100,0)),""))</f>
        <v/>
      </c>
      <c r="G295" s="12" t="str">
        <f t="array" ref="G295">IF($B295="","",IFERROR(INDEX(Accounts!$C$2:$C$100,MATCH($B295,Accounts!$A$2:$A$100,0)),""))</f>
        <v/>
      </c>
      <c r="H295" s="12" t="str">
        <f t="shared" si="0"/>
        <v/>
      </c>
      <c r="I295" s="15" t="str">
        <f t="shared" si="1"/>
        <v/>
      </c>
      <c r="J295" s="16" t="str">
        <f t="shared" si="2"/>
        <v/>
      </c>
    </row>
    <row r="296" customHeight="1" spans="1:10">
      <c r="A296" s="8"/>
      <c r="B296" s="9"/>
      <c r="C296" s="9"/>
      <c r="D296" s="10"/>
      <c r="E296" s="10"/>
      <c r="F296" s="12" t="str">
        <f t="array" ref="F296">IF($B296="","",IFERROR(INDEX(Accounts!$B$2:$B$100,MATCH($B296,Accounts!$A$2:$A$100,0)),""))</f>
        <v/>
      </c>
      <c r="G296" s="12" t="str">
        <f t="array" ref="G296">IF($B296="","",IFERROR(INDEX(Accounts!$C$2:$C$100,MATCH($B296,Accounts!$A$2:$A$100,0)),""))</f>
        <v/>
      </c>
      <c r="H296" s="12" t="str">
        <f t="shared" si="0"/>
        <v/>
      </c>
      <c r="I296" s="15" t="str">
        <f t="shared" si="1"/>
        <v/>
      </c>
      <c r="J296" s="16" t="str">
        <f t="shared" si="2"/>
        <v/>
      </c>
    </row>
    <row r="297" customHeight="1" spans="1:10">
      <c r="A297" s="8"/>
      <c r="B297" s="9"/>
      <c r="C297" s="9"/>
      <c r="D297" s="10"/>
      <c r="E297" s="10"/>
      <c r="F297" s="12" t="str">
        <f t="array" ref="F297">IF($B297="","",IFERROR(INDEX(Accounts!$B$2:$B$100,MATCH($B297,Accounts!$A$2:$A$100,0)),""))</f>
        <v/>
      </c>
      <c r="G297" s="12" t="str">
        <f t="array" ref="G297">IF($B297="","",IFERROR(INDEX(Accounts!$C$2:$C$100,MATCH($B297,Accounts!$A$2:$A$100,0)),""))</f>
        <v/>
      </c>
      <c r="H297" s="12" t="str">
        <f t="shared" si="0"/>
        <v/>
      </c>
      <c r="I297" s="15" t="str">
        <f t="shared" si="1"/>
        <v/>
      </c>
      <c r="J297" s="16" t="str">
        <f t="shared" si="2"/>
        <v/>
      </c>
    </row>
    <row r="298" customHeight="1" spans="1:10">
      <c r="A298" s="8"/>
      <c r="B298" s="9"/>
      <c r="C298" s="9"/>
      <c r="D298" s="10"/>
      <c r="E298" s="10"/>
      <c r="F298" s="12" t="str">
        <f t="array" ref="F298">IF($B298="","",IFERROR(INDEX(Accounts!$B$2:$B$100,MATCH($B298,Accounts!$A$2:$A$100,0)),""))</f>
        <v/>
      </c>
      <c r="G298" s="12" t="str">
        <f t="array" ref="G298">IF($B298="","",IFERROR(INDEX(Accounts!$C$2:$C$100,MATCH($B298,Accounts!$A$2:$A$100,0)),""))</f>
        <v/>
      </c>
      <c r="H298" s="12" t="str">
        <f t="shared" si="0"/>
        <v/>
      </c>
      <c r="I298" s="15" t="str">
        <f t="shared" si="1"/>
        <v/>
      </c>
      <c r="J298" s="16" t="str">
        <f t="shared" si="2"/>
        <v/>
      </c>
    </row>
    <row r="299" customHeight="1" spans="1:10">
      <c r="A299" s="8"/>
      <c r="B299" s="9"/>
      <c r="C299" s="9"/>
      <c r="D299" s="10"/>
      <c r="E299" s="10"/>
      <c r="F299" s="12" t="str">
        <f t="array" ref="F299">IF($B299="","",IFERROR(INDEX(Accounts!$B$2:$B$100,MATCH($B299,Accounts!$A$2:$A$100,0)),""))</f>
        <v/>
      </c>
      <c r="G299" s="12" t="str">
        <f t="array" ref="G299">IF($B299="","",IFERROR(INDEX(Accounts!$C$2:$C$100,MATCH($B299,Accounts!$A$2:$A$100,0)),""))</f>
        <v/>
      </c>
      <c r="H299" s="12" t="str">
        <f t="shared" si="0"/>
        <v/>
      </c>
      <c r="I299" s="15" t="str">
        <f t="shared" si="1"/>
        <v/>
      </c>
      <c r="J299" s="16" t="str">
        <f t="shared" si="2"/>
        <v/>
      </c>
    </row>
    <row r="300" customHeight="1" spans="1:10">
      <c r="A300" s="8"/>
      <c r="B300" s="9"/>
      <c r="C300" s="9"/>
      <c r="D300" s="10"/>
      <c r="E300" s="10"/>
      <c r="F300" s="12" t="str">
        <f t="array" ref="F300">IF($B300="","",IFERROR(INDEX(Accounts!$B$2:$B$100,MATCH($B300,Accounts!$A$2:$A$100,0)),""))</f>
        <v/>
      </c>
      <c r="G300" s="12" t="str">
        <f t="array" ref="G300">IF($B300="","",IFERROR(INDEX(Accounts!$C$2:$C$100,MATCH($B300,Accounts!$A$2:$A$100,0)),""))</f>
        <v/>
      </c>
      <c r="H300" s="12" t="str">
        <f t="shared" si="0"/>
        <v/>
      </c>
      <c r="I300" s="15" t="str">
        <f t="shared" si="1"/>
        <v/>
      </c>
      <c r="J300" s="16" t="str">
        <f t="shared" si="2"/>
        <v/>
      </c>
    </row>
    <row r="301" customHeight="1" spans="1:10">
      <c r="A301" s="8"/>
      <c r="B301" s="9"/>
      <c r="C301" s="9"/>
      <c r="D301" s="10"/>
      <c r="E301" s="10"/>
      <c r="F301" s="12" t="str">
        <f t="array" ref="F301">IF($B301="","",IFERROR(INDEX(Accounts!$B$2:$B$100,MATCH($B301,Accounts!$A$2:$A$100,0)),""))</f>
        <v/>
      </c>
      <c r="G301" s="12" t="str">
        <f t="array" ref="G301">IF($B301="","",IFERROR(INDEX(Accounts!$C$2:$C$100,MATCH($B301,Accounts!$A$2:$A$100,0)),""))</f>
        <v/>
      </c>
      <c r="H301" s="12" t="str">
        <f t="shared" si="0"/>
        <v/>
      </c>
      <c r="I301" s="15" t="str">
        <f t="shared" si="1"/>
        <v/>
      </c>
      <c r="J301" s="16" t="str">
        <f t="shared" si="2"/>
        <v/>
      </c>
    </row>
    <row r="302" customHeight="1" spans="1:10">
      <c r="A302" s="8"/>
      <c r="B302" s="9"/>
      <c r="C302" s="9"/>
      <c r="D302" s="10"/>
      <c r="E302" s="10"/>
      <c r="F302" s="12" t="str">
        <f t="array" ref="F302">IF($B302="","",IFERROR(INDEX(Accounts!$B$2:$B$100,MATCH($B302,Accounts!$A$2:$A$100,0)),""))</f>
        <v/>
      </c>
      <c r="G302" s="12" t="str">
        <f t="array" ref="G302">IF($B302="","",IFERROR(INDEX(Accounts!$C$2:$C$100,MATCH($B302,Accounts!$A$2:$A$100,0)),""))</f>
        <v/>
      </c>
      <c r="H302" s="12" t="str">
        <f t="shared" si="0"/>
        <v/>
      </c>
      <c r="I302" s="15" t="str">
        <f t="shared" si="1"/>
        <v/>
      </c>
      <c r="J302" s="16" t="str">
        <f t="shared" si="2"/>
        <v/>
      </c>
    </row>
    <row r="303" customHeight="1" spans="1:10">
      <c r="A303" s="8"/>
      <c r="B303" s="9"/>
      <c r="C303" s="9"/>
      <c r="D303" s="10"/>
      <c r="E303" s="10"/>
      <c r="F303" s="12" t="str">
        <f t="array" ref="F303">IF($B303="","",IFERROR(INDEX(Accounts!$B$2:$B$100,MATCH($B303,Accounts!$A$2:$A$100,0)),""))</f>
        <v/>
      </c>
      <c r="G303" s="12" t="str">
        <f t="array" ref="G303">IF($B303="","",IFERROR(INDEX(Accounts!$C$2:$C$100,MATCH($B303,Accounts!$A$2:$A$100,0)),""))</f>
        <v/>
      </c>
      <c r="H303" s="12" t="str">
        <f t="shared" si="0"/>
        <v/>
      </c>
      <c r="I303" s="15" t="str">
        <f t="shared" si="1"/>
        <v/>
      </c>
      <c r="J303" s="16" t="str">
        <f t="shared" si="2"/>
        <v/>
      </c>
    </row>
    <row r="304" customHeight="1" spans="1:10">
      <c r="A304" s="8"/>
      <c r="B304" s="9"/>
      <c r="C304" s="9"/>
      <c r="D304" s="10"/>
      <c r="E304" s="10"/>
      <c r="F304" s="12" t="str">
        <f t="array" ref="F304">IF($B304="","",IFERROR(INDEX(Accounts!$B$2:$B$100,MATCH($B304,Accounts!$A$2:$A$100,0)),""))</f>
        <v/>
      </c>
      <c r="G304" s="12" t="str">
        <f t="array" ref="G304">IF($B304="","",IFERROR(INDEX(Accounts!$C$2:$C$100,MATCH($B304,Accounts!$A$2:$A$100,0)),""))</f>
        <v/>
      </c>
      <c r="H304" s="12" t="str">
        <f t="shared" si="0"/>
        <v/>
      </c>
      <c r="I304" s="15" t="str">
        <f t="shared" si="1"/>
        <v/>
      </c>
      <c r="J304" s="16" t="str">
        <f t="shared" si="2"/>
        <v/>
      </c>
    </row>
    <row r="305" customHeight="1" spans="1:10">
      <c r="A305" s="8"/>
      <c r="B305" s="9"/>
      <c r="C305" s="9"/>
      <c r="D305" s="10"/>
      <c r="E305" s="10"/>
      <c r="F305" s="12" t="str">
        <f t="array" ref="F305">IF($B305="","",IFERROR(INDEX(Accounts!$B$2:$B$100,MATCH($B305,Accounts!$A$2:$A$100,0)),""))</f>
        <v/>
      </c>
      <c r="G305" s="12" t="str">
        <f t="array" ref="G305">IF($B305="","",IFERROR(INDEX(Accounts!$C$2:$C$100,MATCH($B305,Accounts!$A$2:$A$100,0)),""))</f>
        <v/>
      </c>
      <c r="H305" s="12" t="str">
        <f t="shared" si="0"/>
        <v/>
      </c>
      <c r="I305" s="15" t="str">
        <f t="shared" si="1"/>
        <v/>
      </c>
      <c r="J305" s="16" t="str">
        <f t="shared" si="2"/>
        <v/>
      </c>
    </row>
    <row r="306" customHeight="1" spans="1:10">
      <c r="A306" s="8"/>
      <c r="B306" s="9"/>
      <c r="C306" s="9"/>
      <c r="D306" s="10"/>
      <c r="E306" s="10"/>
      <c r="F306" s="12" t="str">
        <f t="array" ref="F306">IF($B306="","",IFERROR(INDEX(Accounts!$B$2:$B$100,MATCH($B306,Accounts!$A$2:$A$100,0)),""))</f>
        <v/>
      </c>
      <c r="G306" s="12" t="str">
        <f t="array" ref="G306">IF($B306="","",IFERROR(INDEX(Accounts!$C$2:$C$100,MATCH($B306,Accounts!$A$2:$A$100,0)),""))</f>
        <v/>
      </c>
      <c r="H306" s="12" t="str">
        <f t="shared" si="0"/>
        <v/>
      </c>
      <c r="I306" s="15" t="str">
        <f t="shared" si="1"/>
        <v/>
      </c>
      <c r="J306" s="16" t="str">
        <f t="shared" si="2"/>
        <v/>
      </c>
    </row>
    <row r="307" customHeight="1" spans="1:10">
      <c r="A307" s="8"/>
      <c r="B307" s="9"/>
      <c r="C307" s="9"/>
      <c r="D307" s="10"/>
      <c r="E307" s="10"/>
      <c r="F307" s="12" t="str">
        <f t="array" ref="F307">IF($B307="","",IFERROR(INDEX(Accounts!$B$2:$B$100,MATCH($B307,Accounts!$A$2:$A$100,0)),""))</f>
        <v/>
      </c>
      <c r="G307" s="12" t="str">
        <f t="array" ref="G307">IF($B307="","",IFERROR(INDEX(Accounts!$C$2:$C$100,MATCH($B307,Accounts!$A$2:$A$100,0)),""))</f>
        <v/>
      </c>
      <c r="H307" s="12" t="str">
        <f t="shared" si="0"/>
        <v/>
      </c>
      <c r="I307" s="15" t="str">
        <f t="shared" si="1"/>
        <v/>
      </c>
      <c r="J307" s="16" t="str">
        <f t="shared" si="2"/>
        <v/>
      </c>
    </row>
    <row r="308" customHeight="1" spans="1:10">
      <c r="A308" s="8"/>
      <c r="B308" s="9"/>
      <c r="C308" s="9"/>
      <c r="D308" s="10"/>
      <c r="E308" s="10"/>
      <c r="F308" s="12" t="str">
        <f t="array" ref="F308">IF($B308="","",IFERROR(INDEX(Accounts!$B$2:$B$100,MATCH($B308,Accounts!$A$2:$A$100,0)),""))</f>
        <v/>
      </c>
      <c r="G308" s="12" t="str">
        <f t="array" ref="G308">IF($B308="","",IFERROR(INDEX(Accounts!$C$2:$C$100,MATCH($B308,Accounts!$A$2:$A$100,0)),""))</f>
        <v/>
      </c>
      <c r="H308" s="12" t="str">
        <f t="shared" si="0"/>
        <v/>
      </c>
      <c r="I308" s="15" t="str">
        <f t="shared" si="1"/>
        <v/>
      </c>
      <c r="J308" s="16" t="str">
        <f t="shared" si="2"/>
        <v/>
      </c>
    </row>
    <row r="309" customHeight="1" spans="1:10">
      <c r="A309" s="8"/>
      <c r="B309" s="9"/>
      <c r="C309" s="9"/>
      <c r="D309" s="10"/>
      <c r="E309" s="10"/>
      <c r="F309" s="12" t="str">
        <f t="array" ref="F309">IF($B309="","",IFERROR(INDEX(Accounts!$B$2:$B$100,MATCH($B309,Accounts!$A$2:$A$100,0)),""))</f>
        <v/>
      </c>
      <c r="G309" s="12" t="str">
        <f t="array" ref="G309">IF($B309="","",IFERROR(INDEX(Accounts!$C$2:$C$100,MATCH($B309,Accounts!$A$2:$A$100,0)),""))</f>
        <v/>
      </c>
      <c r="H309" s="12" t="str">
        <f t="shared" si="0"/>
        <v/>
      </c>
      <c r="I309" s="15" t="str">
        <f t="shared" si="1"/>
        <v/>
      </c>
      <c r="J309" s="16" t="str">
        <f t="shared" si="2"/>
        <v/>
      </c>
    </row>
    <row r="310" customHeight="1" spans="1:10">
      <c r="A310" s="8"/>
      <c r="B310" s="9"/>
      <c r="C310" s="9"/>
      <c r="D310" s="10"/>
      <c r="E310" s="10"/>
      <c r="F310" s="12" t="str">
        <f t="array" ref="F310">IF($B310="","",IFERROR(INDEX(Accounts!$B$2:$B$100,MATCH($B310,Accounts!$A$2:$A$100,0)),""))</f>
        <v/>
      </c>
      <c r="G310" s="12" t="str">
        <f t="array" ref="G310">IF($B310="","",IFERROR(INDEX(Accounts!$C$2:$C$100,MATCH($B310,Accounts!$A$2:$A$100,0)),""))</f>
        <v/>
      </c>
      <c r="H310" s="12" t="str">
        <f t="shared" si="0"/>
        <v/>
      </c>
      <c r="I310" s="15" t="str">
        <f t="shared" si="1"/>
        <v/>
      </c>
      <c r="J310" s="16" t="str">
        <f t="shared" si="2"/>
        <v/>
      </c>
    </row>
    <row r="311" customHeight="1" spans="1:10">
      <c r="A311" s="8"/>
      <c r="B311" s="9"/>
      <c r="C311" s="9"/>
      <c r="D311" s="10"/>
      <c r="E311" s="10"/>
      <c r="F311" s="12" t="str">
        <f t="array" ref="F311">IF($B311="","",IFERROR(INDEX(Accounts!$B$2:$B$100,MATCH($B311,Accounts!$A$2:$A$100,0)),""))</f>
        <v/>
      </c>
      <c r="G311" s="12" t="str">
        <f t="array" ref="G311">IF($B311="","",IFERROR(INDEX(Accounts!$C$2:$C$100,MATCH($B311,Accounts!$A$2:$A$100,0)),""))</f>
        <v/>
      </c>
      <c r="H311" s="12" t="str">
        <f t="shared" si="0"/>
        <v/>
      </c>
      <c r="I311" s="15" t="str">
        <f t="shared" si="1"/>
        <v/>
      </c>
      <c r="J311" s="16" t="str">
        <f t="shared" si="2"/>
        <v/>
      </c>
    </row>
    <row r="312" customHeight="1" spans="1:10">
      <c r="A312" s="8"/>
      <c r="B312" s="9"/>
      <c r="C312" s="9"/>
      <c r="D312" s="10"/>
      <c r="E312" s="10"/>
      <c r="F312" s="12" t="str">
        <f t="array" ref="F312">IF($B312="","",IFERROR(INDEX(Accounts!$B$2:$B$100,MATCH($B312,Accounts!$A$2:$A$100,0)),""))</f>
        <v/>
      </c>
      <c r="G312" s="12" t="str">
        <f t="array" ref="G312">IF($B312="","",IFERROR(INDEX(Accounts!$C$2:$C$100,MATCH($B312,Accounts!$A$2:$A$100,0)),""))</f>
        <v/>
      </c>
      <c r="H312" s="12" t="str">
        <f t="shared" si="0"/>
        <v/>
      </c>
      <c r="I312" s="15" t="str">
        <f t="shared" si="1"/>
        <v/>
      </c>
      <c r="J312" s="16" t="str">
        <f t="shared" si="2"/>
        <v/>
      </c>
    </row>
    <row r="313" customHeight="1" spans="1:10">
      <c r="A313" s="8"/>
      <c r="B313" s="9"/>
      <c r="C313" s="9"/>
      <c r="D313" s="10"/>
      <c r="E313" s="10"/>
      <c r="F313" s="12" t="str">
        <f t="array" ref="F313">IF($B313="","",IFERROR(INDEX(Accounts!$B$2:$B$100,MATCH($B313,Accounts!$A$2:$A$100,0)),""))</f>
        <v/>
      </c>
      <c r="G313" s="12" t="str">
        <f t="array" ref="G313">IF($B313="","",IFERROR(INDEX(Accounts!$C$2:$C$100,MATCH($B313,Accounts!$A$2:$A$100,0)),""))</f>
        <v/>
      </c>
      <c r="H313" s="12" t="str">
        <f t="shared" si="0"/>
        <v/>
      </c>
      <c r="I313" s="15" t="str">
        <f t="shared" si="1"/>
        <v/>
      </c>
      <c r="J313" s="16" t="str">
        <f t="shared" si="2"/>
        <v/>
      </c>
    </row>
    <row r="314" customHeight="1" spans="1:10">
      <c r="A314" s="8"/>
      <c r="B314" s="9"/>
      <c r="C314" s="9"/>
      <c r="D314" s="10"/>
      <c r="E314" s="10"/>
      <c r="F314" s="12" t="str">
        <f t="array" ref="F314">IF($B314="","",IFERROR(INDEX(Accounts!$B$2:$B$100,MATCH($B314,Accounts!$A$2:$A$100,0)),""))</f>
        <v/>
      </c>
      <c r="G314" s="12" t="str">
        <f t="array" ref="G314">IF($B314="","",IFERROR(INDEX(Accounts!$C$2:$C$100,MATCH($B314,Accounts!$A$2:$A$100,0)),""))</f>
        <v/>
      </c>
      <c r="H314" s="12" t="str">
        <f t="shared" si="0"/>
        <v/>
      </c>
      <c r="I314" s="15" t="str">
        <f t="shared" si="1"/>
        <v/>
      </c>
      <c r="J314" s="16" t="str">
        <f t="shared" si="2"/>
        <v/>
      </c>
    </row>
    <row r="315" customHeight="1" spans="1:10">
      <c r="A315" s="8"/>
      <c r="B315" s="9"/>
      <c r="C315" s="9"/>
      <c r="D315" s="10"/>
      <c r="E315" s="10"/>
      <c r="F315" s="12" t="str">
        <f t="array" ref="F315">IF($B315="","",IFERROR(INDEX(Accounts!$B$2:$B$100,MATCH($B315,Accounts!$A$2:$A$100,0)),""))</f>
        <v/>
      </c>
      <c r="G315" s="12" t="str">
        <f t="array" ref="G315">IF($B315="","",IFERROR(INDEX(Accounts!$C$2:$C$100,MATCH($B315,Accounts!$A$2:$A$100,0)),""))</f>
        <v/>
      </c>
      <c r="H315" s="12" t="str">
        <f t="shared" si="0"/>
        <v/>
      </c>
      <c r="I315" s="15" t="str">
        <f t="shared" si="1"/>
        <v/>
      </c>
      <c r="J315" s="16" t="str">
        <f t="shared" si="2"/>
        <v/>
      </c>
    </row>
    <row r="316" customHeight="1" spans="1:10">
      <c r="A316" s="8"/>
      <c r="B316" s="9"/>
      <c r="C316" s="9"/>
      <c r="D316" s="10"/>
      <c r="E316" s="10"/>
      <c r="F316" s="12" t="str">
        <f t="array" ref="F316">IF($B316="","",IFERROR(INDEX(Accounts!$B$2:$B$100,MATCH($B316,Accounts!$A$2:$A$100,0)),""))</f>
        <v/>
      </c>
      <c r="G316" s="12" t="str">
        <f t="array" ref="G316">IF($B316="","",IFERROR(INDEX(Accounts!$C$2:$C$100,MATCH($B316,Accounts!$A$2:$A$100,0)),""))</f>
        <v/>
      </c>
      <c r="H316" s="12" t="str">
        <f t="shared" si="0"/>
        <v/>
      </c>
      <c r="I316" s="15" t="str">
        <f t="shared" si="1"/>
        <v/>
      </c>
      <c r="J316" s="16" t="str">
        <f t="shared" si="2"/>
        <v/>
      </c>
    </row>
    <row r="317" customHeight="1" spans="1:10">
      <c r="A317" s="8"/>
      <c r="B317" s="9"/>
      <c r="C317" s="9"/>
      <c r="D317" s="10"/>
      <c r="E317" s="10"/>
      <c r="F317" s="12" t="str">
        <f t="array" ref="F317">IF($B317="","",IFERROR(INDEX(Accounts!$B$2:$B$100,MATCH($B317,Accounts!$A$2:$A$100,0)),""))</f>
        <v/>
      </c>
      <c r="G317" s="12" t="str">
        <f t="array" ref="G317">IF($B317="","",IFERROR(INDEX(Accounts!$C$2:$C$100,MATCH($B317,Accounts!$A$2:$A$100,0)),""))</f>
        <v/>
      </c>
      <c r="H317" s="12" t="str">
        <f t="shared" si="0"/>
        <v/>
      </c>
      <c r="I317" s="15" t="str">
        <f t="shared" si="1"/>
        <v/>
      </c>
      <c r="J317" s="16" t="str">
        <f t="shared" si="2"/>
        <v/>
      </c>
    </row>
    <row r="318" customHeight="1" spans="1:10">
      <c r="A318" s="8"/>
      <c r="B318" s="9"/>
      <c r="C318" s="9"/>
      <c r="D318" s="10"/>
      <c r="E318" s="10"/>
      <c r="F318" s="12" t="str">
        <f t="array" ref="F318">IF($B318="","",IFERROR(INDEX(Accounts!$B$2:$B$100,MATCH($B318,Accounts!$A$2:$A$100,0)),""))</f>
        <v/>
      </c>
      <c r="G318" s="12" t="str">
        <f t="array" ref="G318">IF($B318="","",IFERROR(INDEX(Accounts!$C$2:$C$100,MATCH($B318,Accounts!$A$2:$A$100,0)),""))</f>
        <v/>
      </c>
      <c r="H318" s="12" t="str">
        <f t="shared" si="0"/>
        <v/>
      </c>
      <c r="I318" s="15" t="str">
        <f t="shared" si="1"/>
        <v/>
      </c>
      <c r="J318" s="16" t="str">
        <f t="shared" si="2"/>
        <v/>
      </c>
    </row>
    <row r="319" customHeight="1" spans="1:10">
      <c r="A319" s="8"/>
      <c r="B319" s="9"/>
      <c r="C319" s="9"/>
      <c r="D319" s="10"/>
      <c r="E319" s="10"/>
      <c r="F319" s="12" t="str">
        <f t="array" ref="F319">IF($B319="","",IFERROR(INDEX(Accounts!$B$2:$B$100,MATCH($B319,Accounts!$A$2:$A$100,0)),""))</f>
        <v/>
      </c>
      <c r="G319" s="12" t="str">
        <f t="array" ref="G319">IF($B319="","",IFERROR(INDEX(Accounts!$C$2:$C$100,MATCH($B319,Accounts!$A$2:$A$100,0)),""))</f>
        <v/>
      </c>
      <c r="H319" s="12" t="str">
        <f t="shared" si="0"/>
        <v/>
      </c>
      <c r="I319" s="15" t="str">
        <f t="shared" si="1"/>
        <v/>
      </c>
      <c r="J319" s="16" t="str">
        <f t="shared" si="2"/>
        <v/>
      </c>
    </row>
    <row r="320" customHeight="1" spans="1:10">
      <c r="A320" s="8"/>
      <c r="B320" s="9"/>
      <c r="C320" s="9"/>
      <c r="D320" s="10"/>
      <c r="E320" s="10"/>
      <c r="F320" s="12" t="str">
        <f t="array" ref="F320">IF($B320="","",IFERROR(INDEX(Accounts!$B$2:$B$100,MATCH($B320,Accounts!$A$2:$A$100,0)),""))</f>
        <v/>
      </c>
      <c r="G320" s="12" t="str">
        <f t="array" ref="G320">IF($B320="","",IFERROR(INDEX(Accounts!$C$2:$C$100,MATCH($B320,Accounts!$A$2:$A$100,0)),""))</f>
        <v/>
      </c>
      <c r="H320" s="12" t="str">
        <f t="shared" si="0"/>
        <v/>
      </c>
      <c r="I320" s="15" t="str">
        <f t="shared" si="1"/>
        <v/>
      </c>
      <c r="J320" s="16" t="str">
        <f t="shared" si="2"/>
        <v/>
      </c>
    </row>
    <row r="321" customHeight="1" spans="1:10">
      <c r="A321" s="8"/>
      <c r="B321" s="9"/>
      <c r="C321" s="9"/>
      <c r="D321" s="10"/>
      <c r="E321" s="10"/>
      <c r="F321" s="12" t="str">
        <f t="array" ref="F321">IF($B321="","",IFERROR(INDEX(Accounts!$B$2:$B$100,MATCH($B321,Accounts!$A$2:$A$100,0)),""))</f>
        <v/>
      </c>
      <c r="G321" s="12" t="str">
        <f t="array" ref="G321">IF($B321="","",IFERROR(INDEX(Accounts!$C$2:$C$100,MATCH($B321,Accounts!$A$2:$A$100,0)),""))</f>
        <v/>
      </c>
      <c r="H321" s="12" t="str">
        <f t="shared" si="0"/>
        <v/>
      </c>
      <c r="I321" s="15" t="str">
        <f t="shared" si="1"/>
        <v/>
      </c>
      <c r="J321" s="16" t="str">
        <f t="shared" si="2"/>
        <v/>
      </c>
    </row>
    <row r="322" customHeight="1" spans="1:10">
      <c r="A322" s="8"/>
      <c r="B322" s="9"/>
      <c r="C322" s="9"/>
      <c r="D322" s="10"/>
      <c r="E322" s="10"/>
      <c r="F322" s="12" t="str">
        <f t="array" ref="F322">IF($B322="","",IFERROR(INDEX(Accounts!$B$2:$B$100,MATCH($B322,Accounts!$A$2:$A$100,0)),""))</f>
        <v/>
      </c>
      <c r="G322" s="12" t="str">
        <f t="array" ref="G322">IF($B322="","",IFERROR(INDEX(Accounts!$C$2:$C$100,MATCH($B322,Accounts!$A$2:$A$100,0)),""))</f>
        <v/>
      </c>
      <c r="H322" s="12" t="str">
        <f t="shared" si="0"/>
        <v/>
      </c>
      <c r="I322" s="15" t="str">
        <f t="shared" si="1"/>
        <v/>
      </c>
      <c r="J322" s="16" t="str">
        <f t="shared" si="2"/>
        <v/>
      </c>
    </row>
    <row r="323" customHeight="1" spans="1:10">
      <c r="A323" s="8"/>
      <c r="B323" s="9"/>
      <c r="C323" s="9"/>
      <c r="D323" s="10"/>
      <c r="E323" s="10"/>
      <c r="F323" s="12" t="str">
        <f t="array" ref="F323">IF($B323="","",IFERROR(INDEX(Accounts!$B$2:$B$100,MATCH($B323,Accounts!$A$2:$A$100,0)),""))</f>
        <v/>
      </c>
      <c r="G323" s="12" t="str">
        <f t="array" ref="G323">IF($B323="","",IFERROR(INDEX(Accounts!$C$2:$C$100,MATCH($B323,Accounts!$A$2:$A$100,0)),""))</f>
        <v/>
      </c>
      <c r="H323" s="12" t="str">
        <f t="shared" si="0"/>
        <v/>
      </c>
      <c r="I323" s="15" t="str">
        <f t="shared" si="1"/>
        <v/>
      </c>
      <c r="J323" s="16" t="str">
        <f t="shared" si="2"/>
        <v/>
      </c>
    </row>
    <row r="324" customHeight="1" spans="1:10">
      <c r="A324" s="8"/>
      <c r="B324" s="9"/>
      <c r="C324" s="9"/>
      <c r="D324" s="10"/>
      <c r="E324" s="10"/>
      <c r="F324" s="12" t="str">
        <f t="array" ref="F324">IF($B324="","",IFERROR(INDEX(Accounts!$B$2:$B$100,MATCH($B324,Accounts!$A$2:$A$100,0)),""))</f>
        <v/>
      </c>
      <c r="G324" s="12" t="str">
        <f t="array" ref="G324">IF($B324="","",IFERROR(INDEX(Accounts!$C$2:$C$100,MATCH($B324,Accounts!$A$2:$A$100,0)),""))</f>
        <v/>
      </c>
      <c r="H324" s="12" t="str">
        <f t="shared" si="0"/>
        <v/>
      </c>
      <c r="I324" s="15" t="str">
        <f t="shared" si="1"/>
        <v/>
      </c>
      <c r="J324" s="16" t="str">
        <f t="shared" si="2"/>
        <v/>
      </c>
    </row>
    <row r="325" customHeight="1" spans="1:10">
      <c r="A325" s="8"/>
      <c r="B325" s="9"/>
      <c r="C325" s="9"/>
      <c r="D325" s="10"/>
      <c r="E325" s="10"/>
      <c r="F325" s="12" t="str">
        <f t="array" ref="F325">IF($B325="","",IFERROR(INDEX(Accounts!$B$2:$B$100,MATCH($B325,Accounts!$A$2:$A$100,0)),""))</f>
        <v/>
      </c>
      <c r="G325" s="12" t="str">
        <f t="array" ref="G325">IF($B325="","",IFERROR(INDEX(Accounts!$C$2:$C$100,MATCH($B325,Accounts!$A$2:$A$100,0)),""))</f>
        <v/>
      </c>
      <c r="H325" s="12" t="str">
        <f t="shared" si="0"/>
        <v/>
      </c>
      <c r="I325" s="15" t="str">
        <f t="shared" si="1"/>
        <v/>
      </c>
      <c r="J325" s="16" t="str">
        <f t="shared" si="2"/>
        <v/>
      </c>
    </row>
    <row r="326" customHeight="1" spans="1:10">
      <c r="A326" s="8"/>
      <c r="B326" s="9"/>
      <c r="C326" s="9"/>
      <c r="D326" s="10"/>
      <c r="E326" s="10"/>
      <c r="F326" s="12" t="str">
        <f t="array" ref="F326">IF($B326="","",IFERROR(INDEX(Accounts!$B$2:$B$100,MATCH($B326,Accounts!$A$2:$A$100,0)),""))</f>
        <v/>
      </c>
      <c r="G326" s="12" t="str">
        <f t="array" ref="G326">IF($B326="","",IFERROR(INDEX(Accounts!$C$2:$C$100,MATCH($B326,Accounts!$A$2:$A$100,0)),""))</f>
        <v/>
      </c>
      <c r="H326" s="12" t="str">
        <f t="shared" si="0"/>
        <v/>
      </c>
      <c r="I326" s="15" t="str">
        <f t="shared" si="1"/>
        <v/>
      </c>
      <c r="J326" s="16" t="str">
        <f t="shared" si="2"/>
        <v/>
      </c>
    </row>
    <row r="327" customHeight="1" spans="1:10">
      <c r="A327" s="8"/>
      <c r="B327" s="9"/>
      <c r="C327" s="9"/>
      <c r="D327" s="10"/>
      <c r="E327" s="10"/>
      <c r="F327" s="12" t="str">
        <f t="array" ref="F327">IF($B327="","",IFERROR(INDEX(Accounts!$B$2:$B$100,MATCH($B327,Accounts!$A$2:$A$100,0)),""))</f>
        <v/>
      </c>
      <c r="G327" s="12" t="str">
        <f t="array" ref="G327">IF($B327="","",IFERROR(INDEX(Accounts!$C$2:$C$100,MATCH($B327,Accounts!$A$2:$A$100,0)),""))</f>
        <v/>
      </c>
      <c r="H327" s="12" t="str">
        <f t="shared" si="0"/>
        <v/>
      </c>
      <c r="I327" s="15" t="str">
        <f t="shared" si="1"/>
        <v/>
      </c>
      <c r="J327" s="16" t="str">
        <f t="shared" si="2"/>
        <v/>
      </c>
    </row>
    <row r="328" customHeight="1" spans="1:10">
      <c r="A328" s="8"/>
      <c r="B328" s="9"/>
      <c r="C328" s="9"/>
      <c r="D328" s="10"/>
      <c r="E328" s="10"/>
      <c r="F328" s="12" t="str">
        <f t="array" ref="F328">IF($B328="","",IFERROR(INDEX(Accounts!$B$2:$B$100,MATCH($B328,Accounts!$A$2:$A$100,0)),""))</f>
        <v/>
      </c>
      <c r="G328" s="12" t="str">
        <f t="array" ref="G328">IF($B328="","",IFERROR(INDEX(Accounts!$C$2:$C$100,MATCH($B328,Accounts!$A$2:$A$100,0)),""))</f>
        <v/>
      </c>
      <c r="H328" s="12" t="str">
        <f t="shared" si="0"/>
        <v/>
      </c>
      <c r="I328" s="15" t="str">
        <f t="shared" si="1"/>
        <v/>
      </c>
      <c r="J328" s="16" t="str">
        <f t="shared" si="2"/>
        <v/>
      </c>
    </row>
    <row r="329" customHeight="1" spans="1:10">
      <c r="A329" s="8"/>
      <c r="B329" s="9"/>
      <c r="C329" s="9"/>
      <c r="D329" s="10"/>
      <c r="E329" s="10"/>
      <c r="F329" s="12" t="str">
        <f t="array" ref="F329">IF($B329="","",IFERROR(INDEX(Accounts!$B$2:$B$100,MATCH($B329,Accounts!$A$2:$A$100,0)),""))</f>
        <v/>
      </c>
      <c r="G329" s="12" t="str">
        <f t="array" ref="G329">IF($B329="","",IFERROR(INDEX(Accounts!$C$2:$C$100,MATCH($B329,Accounts!$A$2:$A$100,0)),""))</f>
        <v/>
      </c>
      <c r="H329" s="12" t="str">
        <f t="shared" si="0"/>
        <v/>
      </c>
      <c r="I329" s="15" t="str">
        <f t="shared" si="1"/>
        <v/>
      </c>
      <c r="J329" s="16" t="str">
        <f t="shared" si="2"/>
        <v/>
      </c>
    </row>
    <row r="330" customHeight="1" spans="1:10">
      <c r="A330" s="8"/>
      <c r="B330" s="9"/>
      <c r="C330" s="9"/>
      <c r="D330" s="10"/>
      <c r="E330" s="10"/>
      <c r="F330" s="12" t="str">
        <f t="array" ref="F330">IF($B330="","",IFERROR(INDEX(Accounts!$B$2:$B$100,MATCH($B330,Accounts!$A$2:$A$100,0)),""))</f>
        <v/>
      </c>
      <c r="G330" s="12" t="str">
        <f t="array" ref="G330">IF($B330="","",IFERROR(INDEX(Accounts!$C$2:$C$100,MATCH($B330,Accounts!$A$2:$A$100,0)),""))</f>
        <v/>
      </c>
      <c r="H330" s="12" t="str">
        <f t="shared" si="0"/>
        <v/>
      </c>
      <c r="I330" s="15" t="str">
        <f t="shared" si="1"/>
        <v/>
      </c>
      <c r="J330" s="16" t="str">
        <f t="shared" si="2"/>
        <v/>
      </c>
    </row>
    <row r="331" customHeight="1" spans="1:10">
      <c r="A331" s="8"/>
      <c r="B331" s="9"/>
      <c r="C331" s="9"/>
      <c r="D331" s="10"/>
      <c r="E331" s="10"/>
      <c r="F331" s="12" t="str">
        <f t="array" ref="F331">IF($B331="","",IFERROR(INDEX(Accounts!$B$2:$B$100,MATCH($B331,Accounts!$A$2:$A$100,0)),""))</f>
        <v/>
      </c>
      <c r="G331" s="12" t="str">
        <f t="array" ref="G331">IF($B331="","",IFERROR(INDEX(Accounts!$C$2:$C$100,MATCH($B331,Accounts!$A$2:$A$100,0)),""))</f>
        <v/>
      </c>
      <c r="H331" s="12" t="str">
        <f t="shared" si="0"/>
        <v/>
      </c>
      <c r="I331" s="15" t="str">
        <f t="shared" si="1"/>
        <v/>
      </c>
      <c r="J331" s="16" t="str">
        <f t="shared" si="2"/>
        <v/>
      </c>
    </row>
    <row r="332" customHeight="1" spans="1:10">
      <c r="A332" s="8"/>
      <c r="B332" s="9"/>
      <c r="C332" s="9"/>
      <c r="D332" s="10"/>
      <c r="E332" s="10"/>
      <c r="F332" s="12" t="str">
        <f t="array" ref="F332">IF($B332="","",IFERROR(INDEX(Accounts!$B$2:$B$100,MATCH($B332,Accounts!$A$2:$A$100,0)),""))</f>
        <v/>
      </c>
      <c r="G332" s="12" t="str">
        <f t="array" ref="G332">IF($B332="","",IFERROR(INDEX(Accounts!$C$2:$C$100,MATCH($B332,Accounts!$A$2:$A$100,0)),""))</f>
        <v/>
      </c>
      <c r="H332" s="12" t="str">
        <f t="shared" si="0"/>
        <v/>
      </c>
      <c r="I332" s="15" t="str">
        <f t="shared" si="1"/>
        <v/>
      </c>
      <c r="J332" s="16" t="str">
        <f t="shared" si="2"/>
        <v/>
      </c>
    </row>
    <row r="333" customHeight="1" spans="1:10">
      <c r="A333" s="8"/>
      <c r="B333" s="9"/>
      <c r="C333" s="9"/>
      <c r="D333" s="10"/>
      <c r="E333" s="10"/>
      <c r="F333" s="12" t="str">
        <f t="array" ref="F333">IF($B333="","",IFERROR(INDEX(Accounts!$B$2:$B$100,MATCH($B333,Accounts!$A$2:$A$100,0)),""))</f>
        <v/>
      </c>
      <c r="G333" s="12" t="str">
        <f t="array" ref="G333">IF($B333="","",IFERROR(INDEX(Accounts!$C$2:$C$100,MATCH($B333,Accounts!$A$2:$A$100,0)),""))</f>
        <v/>
      </c>
      <c r="H333" s="12" t="str">
        <f t="shared" si="0"/>
        <v/>
      </c>
      <c r="I333" s="15" t="str">
        <f t="shared" si="1"/>
        <v/>
      </c>
      <c r="J333" s="16" t="str">
        <f t="shared" si="2"/>
        <v/>
      </c>
    </row>
    <row r="334" customHeight="1" spans="1:10">
      <c r="A334" s="8"/>
      <c r="B334" s="9"/>
      <c r="C334" s="9"/>
      <c r="D334" s="10"/>
      <c r="E334" s="10"/>
      <c r="F334" s="12" t="str">
        <f t="array" ref="F334">IF($B334="","",IFERROR(INDEX(Accounts!$B$2:$B$100,MATCH($B334,Accounts!$A$2:$A$100,0)),""))</f>
        <v/>
      </c>
      <c r="G334" s="12" t="str">
        <f t="array" ref="G334">IF($B334="","",IFERROR(INDEX(Accounts!$C$2:$C$100,MATCH($B334,Accounts!$A$2:$A$100,0)),""))</f>
        <v/>
      </c>
      <c r="H334" s="12" t="str">
        <f t="shared" si="0"/>
        <v/>
      </c>
      <c r="I334" s="15" t="str">
        <f t="shared" si="1"/>
        <v/>
      </c>
      <c r="J334" s="16" t="str">
        <f t="shared" si="2"/>
        <v/>
      </c>
    </row>
    <row r="335" customHeight="1" spans="1:10">
      <c r="A335" s="8"/>
      <c r="B335" s="9"/>
      <c r="C335" s="9"/>
      <c r="D335" s="10"/>
      <c r="E335" s="10"/>
      <c r="F335" s="12" t="str">
        <f t="array" ref="F335">IF($B335="","",IFERROR(INDEX(Accounts!$B$2:$B$100,MATCH($B335,Accounts!$A$2:$A$100,0)),""))</f>
        <v/>
      </c>
      <c r="G335" s="12" t="str">
        <f t="array" ref="G335">IF($B335="","",IFERROR(INDEX(Accounts!$C$2:$C$100,MATCH($B335,Accounts!$A$2:$A$100,0)),""))</f>
        <v/>
      </c>
      <c r="H335" s="12" t="str">
        <f t="shared" si="0"/>
        <v/>
      </c>
      <c r="I335" s="15" t="str">
        <f t="shared" si="1"/>
        <v/>
      </c>
      <c r="J335" s="16" t="str">
        <f t="shared" si="2"/>
        <v/>
      </c>
    </row>
    <row r="336" customHeight="1" spans="1:10">
      <c r="A336" s="8"/>
      <c r="B336" s="9"/>
      <c r="C336" s="9"/>
      <c r="D336" s="10"/>
      <c r="E336" s="10"/>
      <c r="F336" s="12" t="str">
        <f t="array" ref="F336">IF($B336="","",IFERROR(INDEX(Accounts!$B$2:$B$100,MATCH($B336,Accounts!$A$2:$A$100,0)),""))</f>
        <v/>
      </c>
      <c r="G336" s="12" t="str">
        <f t="array" ref="G336">IF($B336="","",IFERROR(INDEX(Accounts!$C$2:$C$100,MATCH($B336,Accounts!$A$2:$A$100,0)),""))</f>
        <v/>
      </c>
      <c r="H336" s="12" t="str">
        <f t="shared" si="0"/>
        <v/>
      </c>
      <c r="I336" s="15" t="str">
        <f t="shared" si="1"/>
        <v/>
      </c>
      <c r="J336" s="16" t="str">
        <f t="shared" si="2"/>
        <v/>
      </c>
    </row>
    <row r="337" customHeight="1" spans="1:10">
      <c r="A337" s="8"/>
      <c r="B337" s="9"/>
      <c r="C337" s="9"/>
      <c r="D337" s="10"/>
      <c r="E337" s="10"/>
      <c r="F337" s="12" t="str">
        <f t="array" ref="F337">IF($B337="","",IFERROR(INDEX(Accounts!$B$2:$B$100,MATCH($B337,Accounts!$A$2:$A$100,0)),""))</f>
        <v/>
      </c>
      <c r="G337" s="12" t="str">
        <f t="array" ref="G337">IF($B337="","",IFERROR(INDEX(Accounts!$C$2:$C$100,MATCH($B337,Accounts!$A$2:$A$100,0)),""))</f>
        <v/>
      </c>
      <c r="H337" s="12" t="str">
        <f t="shared" si="0"/>
        <v/>
      </c>
      <c r="I337" s="15" t="str">
        <f t="shared" si="1"/>
        <v/>
      </c>
      <c r="J337" s="16" t="str">
        <f t="shared" si="2"/>
        <v/>
      </c>
    </row>
    <row r="338" customHeight="1" spans="1:10">
      <c r="A338" s="8"/>
      <c r="B338" s="9"/>
      <c r="C338" s="9"/>
      <c r="D338" s="10"/>
      <c r="E338" s="10"/>
      <c r="F338" s="12" t="str">
        <f t="array" ref="F338">IF($B338="","",IFERROR(INDEX(Accounts!$B$2:$B$100,MATCH($B338,Accounts!$A$2:$A$100,0)),""))</f>
        <v/>
      </c>
      <c r="G338" s="12" t="str">
        <f t="array" ref="G338">IF($B338="","",IFERROR(INDEX(Accounts!$C$2:$C$100,MATCH($B338,Accounts!$A$2:$A$100,0)),""))</f>
        <v/>
      </c>
      <c r="H338" s="12" t="str">
        <f t="shared" si="0"/>
        <v/>
      </c>
      <c r="I338" s="15" t="str">
        <f t="shared" si="1"/>
        <v/>
      </c>
      <c r="J338" s="16" t="str">
        <f t="shared" si="2"/>
        <v/>
      </c>
    </row>
    <row r="339" customHeight="1" spans="1:10">
      <c r="A339" s="8"/>
      <c r="B339" s="9"/>
      <c r="C339" s="9"/>
      <c r="D339" s="10"/>
      <c r="E339" s="10"/>
      <c r="F339" s="12" t="str">
        <f t="array" ref="F339">IF($B339="","",IFERROR(INDEX(Accounts!$B$2:$B$100,MATCH($B339,Accounts!$A$2:$A$100,0)),""))</f>
        <v/>
      </c>
      <c r="G339" s="12" t="str">
        <f t="array" ref="G339">IF($B339="","",IFERROR(INDEX(Accounts!$C$2:$C$100,MATCH($B339,Accounts!$A$2:$A$100,0)),""))</f>
        <v/>
      </c>
      <c r="H339" s="12" t="str">
        <f t="shared" si="0"/>
        <v/>
      </c>
      <c r="I339" s="15" t="str">
        <f t="shared" si="1"/>
        <v/>
      </c>
      <c r="J339" s="16" t="str">
        <f t="shared" si="2"/>
        <v/>
      </c>
    </row>
    <row r="340" customHeight="1" spans="1:10">
      <c r="A340" s="8"/>
      <c r="B340" s="9"/>
      <c r="C340" s="9"/>
      <c r="D340" s="10"/>
      <c r="E340" s="10"/>
      <c r="F340" s="12" t="str">
        <f t="array" ref="F340">IF($B340="","",IFERROR(INDEX(Accounts!$B$2:$B$100,MATCH($B340,Accounts!$A$2:$A$100,0)),""))</f>
        <v/>
      </c>
      <c r="G340" s="12" t="str">
        <f t="array" ref="G340">IF($B340="","",IFERROR(INDEX(Accounts!$C$2:$C$100,MATCH($B340,Accounts!$A$2:$A$100,0)),""))</f>
        <v/>
      </c>
      <c r="H340" s="12" t="str">
        <f t="shared" si="0"/>
        <v/>
      </c>
      <c r="I340" s="15" t="str">
        <f t="shared" si="1"/>
        <v/>
      </c>
      <c r="J340" s="16" t="str">
        <f t="shared" si="2"/>
        <v/>
      </c>
    </row>
    <row r="341" customHeight="1" spans="1:10">
      <c r="A341" s="8"/>
      <c r="B341" s="9"/>
      <c r="C341" s="9"/>
      <c r="D341" s="10"/>
      <c r="E341" s="10"/>
      <c r="F341" s="12" t="str">
        <f t="array" ref="F341">IF($B341="","",IFERROR(INDEX(Accounts!$B$2:$B$100,MATCH($B341,Accounts!$A$2:$A$100,0)),""))</f>
        <v/>
      </c>
      <c r="G341" s="12" t="str">
        <f t="array" ref="G341">IF($B341="","",IFERROR(INDEX(Accounts!$C$2:$C$100,MATCH($B341,Accounts!$A$2:$A$100,0)),""))</f>
        <v/>
      </c>
      <c r="H341" s="12" t="str">
        <f t="shared" si="0"/>
        <v/>
      </c>
      <c r="I341" s="15" t="str">
        <f t="shared" si="1"/>
        <v/>
      </c>
      <c r="J341" s="16" t="str">
        <f t="shared" si="2"/>
        <v/>
      </c>
    </row>
    <row r="342" customHeight="1" spans="1:10">
      <c r="A342" s="8"/>
      <c r="B342" s="9"/>
      <c r="C342" s="9"/>
      <c r="D342" s="10"/>
      <c r="E342" s="10"/>
      <c r="F342" s="12" t="str">
        <f t="array" ref="F342">IF($B342="","",IFERROR(INDEX(Accounts!$B$2:$B$100,MATCH($B342,Accounts!$A$2:$A$100,0)),""))</f>
        <v/>
      </c>
      <c r="G342" s="12" t="str">
        <f t="array" ref="G342">IF($B342="","",IFERROR(INDEX(Accounts!$C$2:$C$100,MATCH($B342,Accounts!$A$2:$A$100,0)),""))</f>
        <v/>
      </c>
      <c r="H342" s="12" t="str">
        <f t="shared" si="0"/>
        <v/>
      </c>
      <c r="I342" s="15" t="str">
        <f t="shared" si="1"/>
        <v/>
      </c>
      <c r="J342" s="16" t="str">
        <f t="shared" si="2"/>
        <v/>
      </c>
    </row>
    <row r="343" customHeight="1" spans="1:10">
      <c r="A343" s="8"/>
      <c r="B343" s="9"/>
      <c r="C343" s="9"/>
      <c r="D343" s="10"/>
      <c r="E343" s="10"/>
      <c r="F343" s="12" t="str">
        <f t="array" ref="F343">IF($B343="","",IFERROR(INDEX(Accounts!$B$2:$B$100,MATCH($B343,Accounts!$A$2:$A$100,0)),""))</f>
        <v/>
      </c>
      <c r="G343" s="12" t="str">
        <f t="array" ref="G343">IF($B343="","",IFERROR(INDEX(Accounts!$C$2:$C$100,MATCH($B343,Accounts!$A$2:$A$100,0)),""))</f>
        <v/>
      </c>
      <c r="H343" s="12" t="str">
        <f t="shared" si="0"/>
        <v/>
      </c>
      <c r="I343" s="15" t="str">
        <f t="shared" si="1"/>
        <v/>
      </c>
      <c r="J343" s="16" t="str">
        <f t="shared" si="2"/>
        <v/>
      </c>
    </row>
    <row r="344" customHeight="1" spans="1:10">
      <c r="A344" s="8"/>
      <c r="B344" s="9"/>
      <c r="C344" s="9"/>
      <c r="D344" s="10"/>
      <c r="E344" s="10"/>
      <c r="F344" s="12" t="str">
        <f t="array" ref="F344">IF($B344="","",IFERROR(INDEX(Accounts!$B$2:$B$100,MATCH($B344,Accounts!$A$2:$A$100,0)),""))</f>
        <v/>
      </c>
      <c r="G344" s="12" t="str">
        <f t="array" ref="G344">IF($B344="","",IFERROR(INDEX(Accounts!$C$2:$C$100,MATCH($B344,Accounts!$A$2:$A$100,0)),""))</f>
        <v/>
      </c>
      <c r="H344" s="12" t="str">
        <f t="shared" si="0"/>
        <v/>
      </c>
      <c r="I344" s="15" t="str">
        <f t="shared" si="1"/>
        <v/>
      </c>
      <c r="J344" s="16" t="str">
        <f t="shared" si="2"/>
        <v/>
      </c>
    </row>
    <row r="345" customHeight="1" spans="1:10">
      <c r="A345" s="8"/>
      <c r="B345" s="9"/>
      <c r="C345" s="9"/>
      <c r="D345" s="10"/>
      <c r="E345" s="10"/>
      <c r="F345" s="12" t="str">
        <f t="array" ref="F345">IF($B345="","",IFERROR(INDEX(Accounts!$B$2:$B$100,MATCH($B345,Accounts!$A$2:$A$100,0)),""))</f>
        <v/>
      </c>
      <c r="G345" s="12" t="str">
        <f t="array" ref="G345">IF($B345="","",IFERROR(INDEX(Accounts!$C$2:$C$100,MATCH($B345,Accounts!$A$2:$A$100,0)),""))</f>
        <v/>
      </c>
      <c r="H345" s="12" t="str">
        <f t="shared" si="0"/>
        <v/>
      </c>
      <c r="I345" s="15" t="str">
        <f t="shared" si="1"/>
        <v/>
      </c>
      <c r="J345" s="16" t="str">
        <f t="shared" si="2"/>
        <v/>
      </c>
    </row>
    <row r="346" customHeight="1" spans="1:10">
      <c r="A346" s="8"/>
      <c r="B346" s="9"/>
      <c r="C346" s="9"/>
      <c r="D346" s="10"/>
      <c r="E346" s="10"/>
      <c r="F346" s="12" t="str">
        <f t="array" ref="F346">IF($B346="","",IFERROR(INDEX(Accounts!$B$2:$B$100,MATCH($B346,Accounts!$A$2:$A$100,0)),""))</f>
        <v/>
      </c>
      <c r="G346" s="12" t="str">
        <f t="array" ref="G346">IF($B346="","",IFERROR(INDEX(Accounts!$C$2:$C$100,MATCH($B346,Accounts!$A$2:$A$100,0)),""))</f>
        <v/>
      </c>
      <c r="H346" s="12" t="str">
        <f t="shared" si="0"/>
        <v/>
      </c>
      <c r="I346" s="15" t="str">
        <f t="shared" si="1"/>
        <v/>
      </c>
      <c r="J346" s="16" t="str">
        <f t="shared" si="2"/>
        <v/>
      </c>
    </row>
    <row r="347" customHeight="1" spans="1:10">
      <c r="A347" s="8"/>
      <c r="B347" s="9"/>
      <c r="C347" s="9"/>
      <c r="D347" s="10"/>
      <c r="E347" s="10"/>
      <c r="F347" s="12" t="str">
        <f t="array" ref="F347">IF($B347="","",IFERROR(INDEX(Accounts!$B$2:$B$100,MATCH($B347,Accounts!$A$2:$A$100,0)),""))</f>
        <v/>
      </c>
      <c r="G347" s="12" t="str">
        <f t="array" ref="G347">IF($B347="","",IFERROR(INDEX(Accounts!$C$2:$C$100,MATCH($B347,Accounts!$A$2:$A$100,0)),""))</f>
        <v/>
      </c>
      <c r="H347" s="12" t="str">
        <f t="shared" si="0"/>
        <v/>
      </c>
      <c r="I347" s="15" t="str">
        <f t="shared" si="1"/>
        <v/>
      </c>
      <c r="J347" s="16" t="str">
        <f t="shared" si="2"/>
        <v/>
      </c>
    </row>
    <row r="348" customHeight="1" spans="1:10">
      <c r="A348" s="8"/>
      <c r="B348" s="9"/>
      <c r="C348" s="9"/>
      <c r="D348" s="10"/>
      <c r="E348" s="10"/>
      <c r="F348" s="12" t="str">
        <f t="array" ref="F348">IF($B348="","",IFERROR(INDEX(Accounts!$B$2:$B$100,MATCH($B348,Accounts!$A$2:$A$100,0)),""))</f>
        <v/>
      </c>
      <c r="G348" s="12" t="str">
        <f t="array" ref="G348">IF($B348="","",IFERROR(INDEX(Accounts!$C$2:$C$100,MATCH($B348,Accounts!$A$2:$A$100,0)),""))</f>
        <v/>
      </c>
      <c r="H348" s="12" t="str">
        <f t="shared" si="0"/>
        <v/>
      </c>
      <c r="I348" s="15" t="str">
        <f t="shared" si="1"/>
        <v/>
      </c>
      <c r="J348" s="16" t="str">
        <f t="shared" si="2"/>
        <v/>
      </c>
    </row>
    <row r="349" customHeight="1" spans="1:10">
      <c r="A349" s="8"/>
      <c r="B349" s="9"/>
      <c r="C349" s="9"/>
      <c r="D349" s="10"/>
      <c r="E349" s="10"/>
      <c r="F349" s="12" t="str">
        <f t="array" ref="F349">IF($B349="","",IFERROR(INDEX(Accounts!$B$2:$B$100,MATCH($B349,Accounts!$A$2:$A$100,0)),""))</f>
        <v/>
      </c>
      <c r="G349" s="12" t="str">
        <f t="array" ref="G349">IF($B349="","",IFERROR(INDEX(Accounts!$C$2:$C$100,MATCH($B349,Accounts!$A$2:$A$100,0)),""))</f>
        <v/>
      </c>
      <c r="H349" s="12" t="str">
        <f t="shared" si="0"/>
        <v/>
      </c>
      <c r="I349" s="15" t="str">
        <f t="shared" si="1"/>
        <v/>
      </c>
      <c r="J349" s="16" t="str">
        <f t="shared" si="2"/>
        <v/>
      </c>
    </row>
    <row r="350" customHeight="1" spans="1:10">
      <c r="A350" s="8"/>
      <c r="B350" s="9"/>
      <c r="C350" s="9"/>
      <c r="D350" s="10"/>
      <c r="E350" s="10"/>
      <c r="F350" s="12" t="str">
        <f t="array" ref="F350">IF($B350="","",IFERROR(INDEX(Accounts!$B$2:$B$100,MATCH($B350,Accounts!$A$2:$A$100,0)),""))</f>
        <v/>
      </c>
      <c r="G350" s="12" t="str">
        <f t="array" ref="G350">IF($B350="","",IFERROR(INDEX(Accounts!$C$2:$C$100,MATCH($B350,Accounts!$A$2:$A$100,0)),""))</f>
        <v/>
      </c>
      <c r="H350" s="12" t="str">
        <f t="shared" si="0"/>
        <v/>
      </c>
      <c r="I350" s="15" t="str">
        <f t="shared" si="1"/>
        <v/>
      </c>
      <c r="J350" s="16" t="str">
        <f t="shared" si="2"/>
        <v/>
      </c>
    </row>
    <row r="351" customHeight="1" spans="1:10">
      <c r="A351" s="8"/>
      <c r="B351" s="9"/>
      <c r="C351" s="9"/>
      <c r="D351" s="10"/>
      <c r="E351" s="10"/>
      <c r="F351" s="12" t="str">
        <f t="array" ref="F351">IF($B351="","",IFERROR(INDEX(Accounts!$B$2:$B$100,MATCH($B351,Accounts!$A$2:$A$100,0)),""))</f>
        <v/>
      </c>
      <c r="G351" s="12" t="str">
        <f t="array" ref="G351">IF($B351="","",IFERROR(INDEX(Accounts!$C$2:$C$100,MATCH($B351,Accounts!$A$2:$A$100,0)),""))</f>
        <v/>
      </c>
      <c r="H351" s="12" t="str">
        <f t="shared" si="0"/>
        <v/>
      </c>
      <c r="I351" s="15" t="str">
        <f t="shared" si="1"/>
        <v/>
      </c>
      <c r="J351" s="16" t="str">
        <f t="shared" si="2"/>
        <v/>
      </c>
    </row>
    <row r="352" customHeight="1" spans="1:10">
      <c r="A352" s="8"/>
      <c r="B352" s="9"/>
      <c r="C352" s="9"/>
      <c r="D352" s="10"/>
      <c r="E352" s="10"/>
      <c r="F352" s="12" t="str">
        <f t="array" ref="F352">IF($B352="","",IFERROR(INDEX(Accounts!$B$2:$B$100,MATCH($B352,Accounts!$A$2:$A$100,0)),""))</f>
        <v/>
      </c>
      <c r="G352" s="12" t="str">
        <f t="array" ref="G352">IF($B352="","",IFERROR(INDEX(Accounts!$C$2:$C$100,MATCH($B352,Accounts!$A$2:$A$100,0)),""))</f>
        <v/>
      </c>
      <c r="H352" s="12" t="str">
        <f t="shared" si="0"/>
        <v/>
      </c>
      <c r="I352" s="15" t="str">
        <f t="shared" si="1"/>
        <v/>
      </c>
      <c r="J352" s="16" t="str">
        <f t="shared" si="2"/>
        <v/>
      </c>
    </row>
    <row r="353" customHeight="1" spans="1:10">
      <c r="A353" s="8"/>
      <c r="B353" s="9"/>
      <c r="C353" s="9"/>
      <c r="D353" s="10"/>
      <c r="E353" s="10"/>
      <c r="F353" s="12" t="str">
        <f t="array" ref="F353">IF($B353="","",IFERROR(INDEX(Accounts!$B$2:$B$100,MATCH($B353,Accounts!$A$2:$A$100,0)),""))</f>
        <v/>
      </c>
      <c r="G353" s="12" t="str">
        <f t="array" ref="G353">IF($B353="","",IFERROR(INDEX(Accounts!$C$2:$C$100,MATCH($B353,Accounts!$A$2:$A$100,0)),""))</f>
        <v/>
      </c>
      <c r="H353" s="12" t="str">
        <f t="shared" si="0"/>
        <v/>
      </c>
      <c r="I353" s="15" t="str">
        <f t="shared" si="1"/>
        <v/>
      </c>
      <c r="J353" s="16" t="str">
        <f t="shared" si="2"/>
        <v/>
      </c>
    </row>
    <row r="354" customHeight="1" spans="1:10">
      <c r="A354" s="8"/>
      <c r="B354" s="9"/>
      <c r="C354" s="9"/>
      <c r="D354" s="10"/>
      <c r="E354" s="10"/>
      <c r="F354" s="12" t="str">
        <f t="array" ref="F354">IF($B354="","",IFERROR(INDEX(Accounts!$B$2:$B$100,MATCH($B354,Accounts!$A$2:$A$100,0)),""))</f>
        <v/>
      </c>
      <c r="G354" s="12" t="str">
        <f t="array" ref="G354">IF($B354="","",IFERROR(INDEX(Accounts!$C$2:$C$100,MATCH($B354,Accounts!$A$2:$A$100,0)),""))</f>
        <v/>
      </c>
      <c r="H354" s="12" t="str">
        <f t="shared" si="0"/>
        <v/>
      </c>
      <c r="I354" s="15" t="str">
        <f t="shared" si="1"/>
        <v/>
      </c>
      <c r="J354" s="16" t="str">
        <f t="shared" si="2"/>
        <v/>
      </c>
    </row>
    <row r="355" customHeight="1" spans="1:10">
      <c r="A355" s="8"/>
      <c r="B355" s="9"/>
      <c r="C355" s="9"/>
      <c r="D355" s="10"/>
      <c r="E355" s="10"/>
      <c r="F355" s="12" t="str">
        <f t="array" ref="F355">IF($B355="","",IFERROR(INDEX(Accounts!$B$2:$B$100,MATCH($B355,Accounts!$A$2:$A$100,0)),""))</f>
        <v/>
      </c>
      <c r="G355" s="12" t="str">
        <f t="array" ref="G355">IF($B355="","",IFERROR(INDEX(Accounts!$C$2:$C$100,MATCH($B355,Accounts!$A$2:$A$100,0)),""))</f>
        <v/>
      </c>
      <c r="H355" s="12" t="str">
        <f t="shared" si="0"/>
        <v/>
      </c>
      <c r="I355" s="15" t="str">
        <f t="shared" si="1"/>
        <v/>
      </c>
      <c r="J355" s="16" t="str">
        <f t="shared" si="2"/>
        <v/>
      </c>
    </row>
    <row r="356" customHeight="1" spans="1:10">
      <c r="A356" s="8"/>
      <c r="B356" s="9"/>
      <c r="C356" s="9"/>
      <c r="D356" s="10"/>
      <c r="E356" s="10"/>
      <c r="F356" s="12" t="str">
        <f t="array" ref="F356">IF($B356="","",IFERROR(INDEX(Accounts!$B$2:$B$100,MATCH($B356,Accounts!$A$2:$A$100,0)),""))</f>
        <v/>
      </c>
      <c r="G356" s="12" t="str">
        <f t="array" ref="G356">IF($B356="","",IFERROR(INDEX(Accounts!$C$2:$C$100,MATCH($B356,Accounts!$A$2:$A$100,0)),""))</f>
        <v/>
      </c>
      <c r="H356" s="12" t="str">
        <f t="shared" si="0"/>
        <v/>
      </c>
      <c r="I356" s="15" t="str">
        <f t="shared" si="1"/>
        <v/>
      </c>
      <c r="J356" s="16" t="str">
        <f t="shared" si="2"/>
        <v/>
      </c>
    </row>
    <row r="357" customHeight="1" spans="1:10">
      <c r="A357" s="8"/>
      <c r="B357" s="9"/>
      <c r="C357" s="9"/>
      <c r="D357" s="10"/>
      <c r="E357" s="10"/>
      <c r="F357" s="12" t="str">
        <f t="array" ref="F357">IF($B357="","",IFERROR(INDEX(Accounts!$B$2:$B$100,MATCH($B357,Accounts!$A$2:$A$100,0)),""))</f>
        <v/>
      </c>
      <c r="G357" s="12" t="str">
        <f t="array" ref="G357">IF($B357="","",IFERROR(INDEX(Accounts!$C$2:$C$100,MATCH($B357,Accounts!$A$2:$A$100,0)),""))</f>
        <v/>
      </c>
      <c r="H357" s="12" t="str">
        <f t="shared" si="0"/>
        <v/>
      </c>
      <c r="I357" s="15" t="str">
        <f t="shared" si="1"/>
        <v/>
      </c>
      <c r="J357" s="16" t="str">
        <f t="shared" si="2"/>
        <v/>
      </c>
    </row>
    <row r="358" customHeight="1" spans="1:10">
      <c r="A358" s="8"/>
      <c r="B358" s="9"/>
      <c r="C358" s="9"/>
      <c r="D358" s="10"/>
      <c r="E358" s="10"/>
      <c r="F358" s="12" t="str">
        <f t="array" ref="F358">IF($B358="","",IFERROR(INDEX(Accounts!$B$2:$B$100,MATCH($B358,Accounts!$A$2:$A$100,0)),""))</f>
        <v/>
      </c>
      <c r="G358" s="12" t="str">
        <f t="array" ref="G358">IF($B358="","",IFERROR(INDEX(Accounts!$C$2:$C$100,MATCH($B358,Accounts!$A$2:$A$100,0)),""))</f>
        <v/>
      </c>
      <c r="H358" s="12" t="str">
        <f t="shared" si="0"/>
        <v/>
      </c>
      <c r="I358" s="15" t="str">
        <f t="shared" si="1"/>
        <v/>
      </c>
      <c r="J358" s="16" t="str">
        <f t="shared" si="2"/>
        <v/>
      </c>
    </row>
    <row r="359" customHeight="1" spans="1:10">
      <c r="A359" s="8"/>
      <c r="B359" s="9"/>
      <c r="C359" s="9"/>
      <c r="D359" s="10"/>
      <c r="E359" s="10"/>
      <c r="F359" s="12" t="str">
        <f t="array" ref="F359">IF($B359="","",IFERROR(INDEX(Accounts!$B$2:$B$100,MATCH($B359,Accounts!$A$2:$A$100,0)),""))</f>
        <v/>
      </c>
      <c r="G359" s="12" t="str">
        <f t="array" ref="G359">IF($B359="","",IFERROR(INDEX(Accounts!$C$2:$C$100,MATCH($B359,Accounts!$A$2:$A$100,0)),""))</f>
        <v/>
      </c>
      <c r="H359" s="12" t="str">
        <f t="shared" si="0"/>
        <v/>
      </c>
      <c r="I359" s="15" t="str">
        <f t="shared" si="1"/>
        <v/>
      </c>
      <c r="J359" s="16" t="str">
        <f t="shared" si="2"/>
        <v/>
      </c>
    </row>
    <row r="360" customHeight="1" spans="1:10">
      <c r="A360" s="8"/>
      <c r="B360" s="9"/>
      <c r="C360" s="9"/>
      <c r="D360" s="10"/>
      <c r="E360" s="10"/>
      <c r="F360" s="12" t="str">
        <f t="array" ref="F360">IF($B360="","",IFERROR(INDEX(Accounts!$B$2:$B$100,MATCH($B360,Accounts!$A$2:$A$100,0)),""))</f>
        <v/>
      </c>
      <c r="G360" s="12" t="str">
        <f t="array" ref="G360">IF($B360="","",IFERROR(INDEX(Accounts!$C$2:$C$100,MATCH($B360,Accounts!$A$2:$A$100,0)),""))</f>
        <v/>
      </c>
      <c r="H360" s="12" t="str">
        <f t="shared" si="0"/>
        <v/>
      </c>
      <c r="I360" s="15" t="str">
        <f t="shared" si="1"/>
        <v/>
      </c>
      <c r="J360" s="16" t="str">
        <f t="shared" si="2"/>
        <v/>
      </c>
    </row>
    <row r="361" customHeight="1" spans="1:10">
      <c r="A361" s="8"/>
      <c r="B361" s="9"/>
      <c r="C361" s="9"/>
      <c r="D361" s="10"/>
      <c r="E361" s="10"/>
      <c r="F361" s="12" t="str">
        <f t="array" ref="F361">IF($B361="","",IFERROR(INDEX(Accounts!$B$2:$B$100,MATCH($B361,Accounts!$A$2:$A$100,0)),""))</f>
        <v/>
      </c>
      <c r="G361" s="12" t="str">
        <f t="array" ref="G361">IF($B361="","",IFERROR(INDEX(Accounts!$C$2:$C$100,MATCH($B361,Accounts!$A$2:$A$100,0)),""))</f>
        <v/>
      </c>
      <c r="H361" s="12" t="str">
        <f t="shared" si="0"/>
        <v/>
      </c>
      <c r="I361" s="15" t="str">
        <f t="shared" si="1"/>
        <v/>
      </c>
      <c r="J361" s="16" t="str">
        <f t="shared" si="2"/>
        <v/>
      </c>
    </row>
    <row r="362" customHeight="1" spans="1:10">
      <c r="A362" s="8"/>
      <c r="B362" s="9"/>
      <c r="C362" s="9"/>
      <c r="D362" s="10"/>
      <c r="E362" s="10"/>
      <c r="F362" s="12" t="str">
        <f t="array" ref="F362">IF($B362="","",IFERROR(INDEX(Accounts!$B$2:$B$100,MATCH($B362,Accounts!$A$2:$A$100,0)),""))</f>
        <v/>
      </c>
      <c r="G362" s="12" t="str">
        <f t="array" ref="G362">IF($B362="","",IFERROR(INDEX(Accounts!$C$2:$C$100,MATCH($B362,Accounts!$A$2:$A$100,0)),""))</f>
        <v/>
      </c>
      <c r="H362" s="12" t="str">
        <f t="shared" si="0"/>
        <v/>
      </c>
      <c r="I362" s="15" t="str">
        <f t="shared" si="1"/>
        <v/>
      </c>
      <c r="J362" s="16" t="str">
        <f t="shared" si="2"/>
        <v/>
      </c>
    </row>
    <row r="363" customHeight="1" spans="1:10">
      <c r="A363" s="8"/>
      <c r="B363" s="9"/>
      <c r="C363" s="9"/>
      <c r="D363" s="10"/>
      <c r="E363" s="10"/>
      <c r="F363" s="12" t="str">
        <f t="array" ref="F363">IF($B363="","",IFERROR(INDEX(Accounts!$B$2:$B$100,MATCH($B363,Accounts!$A$2:$A$100,0)),""))</f>
        <v/>
      </c>
      <c r="G363" s="12" t="str">
        <f t="array" ref="G363">IF($B363="","",IFERROR(INDEX(Accounts!$C$2:$C$100,MATCH($B363,Accounts!$A$2:$A$100,0)),""))</f>
        <v/>
      </c>
      <c r="H363" s="12" t="str">
        <f t="shared" si="0"/>
        <v/>
      </c>
      <c r="I363" s="15" t="str">
        <f t="shared" si="1"/>
        <v/>
      </c>
      <c r="J363" s="16" t="str">
        <f t="shared" si="2"/>
        <v/>
      </c>
    </row>
    <row r="364" customHeight="1" spans="1:10">
      <c r="A364" s="8"/>
      <c r="B364" s="9"/>
      <c r="C364" s="9"/>
      <c r="D364" s="10"/>
      <c r="E364" s="10"/>
      <c r="F364" s="12" t="str">
        <f t="array" ref="F364">IF($B364="","",IFERROR(INDEX(Accounts!$B$2:$B$100,MATCH($B364,Accounts!$A$2:$A$100,0)),""))</f>
        <v/>
      </c>
      <c r="G364" s="12" t="str">
        <f t="array" ref="G364">IF($B364="","",IFERROR(INDEX(Accounts!$C$2:$C$100,MATCH($B364,Accounts!$A$2:$A$100,0)),""))</f>
        <v/>
      </c>
      <c r="H364" s="12" t="str">
        <f t="shared" si="0"/>
        <v/>
      </c>
      <c r="I364" s="15" t="str">
        <f t="shared" si="1"/>
        <v/>
      </c>
      <c r="J364" s="16" t="str">
        <f t="shared" si="2"/>
        <v/>
      </c>
    </row>
    <row r="365" customHeight="1" spans="1:10">
      <c r="A365" s="8"/>
      <c r="B365" s="9"/>
      <c r="C365" s="9"/>
      <c r="D365" s="10"/>
      <c r="E365" s="10"/>
      <c r="F365" s="12" t="str">
        <f t="array" ref="F365">IF($B365="","",IFERROR(INDEX(Accounts!$B$2:$B$100,MATCH($B365,Accounts!$A$2:$A$100,0)),""))</f>
        <v/>
      </c>
      <c r="G365" s="12" t="str">
        <f t="array" ref="G365">IF($B365="","",IFERROR(INDEX(Accounts!$C$2:$C$100,MATCH($B365,Accounts!$A$2:$A$100,0)),""))</f>
        <v/>
      </c>
      <c r="H365" s="12" t="str">
        <f t="shared" si="0"/>
        <v/>
      </c>
      <c r="I365" s="15" t="str">
        <f t="shared" si="1"/>
        <v/>
      </c>
      <c r="J365" s="16" t="str">
        <f t="shared" si="2"/>
        <v/>
      </c>
    </row>
    <row r="366" customHeight="1" spans="1:10">
      <c r="A366" s="8"/>
      <c r="B366" s="9"/>
      <c r="C366" s="9"/>
      <c r="D366" s="10"/>
      <c r="E366" s="10"/>
      <c r="F366" s="12" t="str">
        <f t="array" ref="F366">IF($B366="","",IFERROR(INDEX(Accounts!$B$2:$B$100,MATCH($B366,Accounts!$A$2:$A$100,0)),""))</f>
        <v/>
      </c>
      <c r="G366" s="12" t="str">
        <f t="array" ref="G366">IF($B366="","",IFERROR(INDEX(Accounts!$C$2:$C$100,MATCH($B366,Accounts!$A$2:$A$100,0)),""))</f>
        <v/>
      </c>
      <c r="H366" s="12" t="str">
        <f t="shared" si="0"/>
        <v/>
      </c>
      <c r="I366" s="15" t="str">
        <f t="shared" si="1"/>
        <v/>
      </c>
      <c r="J366" s="16" t="str">
        <f t="shared" si="2"/>
        <v/>
      </c>
    </row>
    <row r="367" customHeight="1" spans="1:10">
      <c r="A367" s="8"/>
      <c r="B367" s="9"/>
      <c r="C367" s="9"/>
      <c r="D367" s="10"/>
      <c r="E367" s="10"/>
      <c r="F367" s="12" t="str">
        <f t="array" ref="F367">IF($B367="","",IFERROR(INDEX(Accounts!$B$2:$B$100,MATCH($B367,Accounts!$A$2:$A$100,0)),""))</f>
        <v/>
      </c>
      <c r="G367" s="12" t="str">
        <f t="array" ref="G367">IF($B367="","",IFERROR(INDEX(Accounts!$C$2:$C$100,MATCH($B367,Accounts!$A$2:$A$100,0)),""))</f>
        <v/>
      </c>
      <c r="H367" s="12" t="str">
        <f t="shared" si="0"/>
        <v/>
      </c>
      <c r="I367" s="15" t="str">
        <f t="shared" si="1"/>
        <v/>
      </c>
      <c r="J367" s="16" t="str">
        <f t="shared" si="2"/>
        <v/>
      </c>
    </row>
    <row r="368" customHeight="1" spans="1:10">
      <c r="A368" s="8"/>
      <c r="B368" s="9"/>
      <c r="C368" s="9"/>
      <c r="D368" s="10"/>
      <c r="E368" s="10"/>
      <c r="F368" s="12" t="str">
        <f t="array" ref="F368">IF($B368="","",IFERROR(INDEX(Accounts!$B$2:$B$100,MATCH($B368,Accounts!$A$2:$A$100,0)),""))</f>
        <v/>
      </c>
      <c r="G368" s="12" t="str">
        <f t="array" ref="G368">IF($B368="","",IFERROR(INDEX(Accounts!$C$2:$C$100,MATCH($B368,Accounts!$A$2:$A$100,0)),""))</f>
        <v/>
      </c>
      <c r="H368" s="12" t="str">
        <f t="shared" si="0"/>
        <v/>
      </c>
      <c r="I368" s="15" t="str">
        <f t="shared" si="1"/>
        <v/>
      </c>
      <c r="J368" s="16" t="str">
        <f t="shared" si="2"/>
        <v/>
      </c>
    </row>
    <row r="369" customHeight="1" spans="1:10">
      <c r="A369" s="8"/>
      <c r="B369" s="9"/>
      <c r="C369" s="9"/>
      <c r="D369" s="10"/>
      <c r="E369" s="10"/>
      <c r="F369" s="12" t="str">
        <f t="array" ref="F369">IF($B369="","",IFERROR(INDEX(Accounts!$B$2:$B$100,MATCH($B369,Accounts!$A$2:$A$100,0)),""))</f>
        <v/>
      </c>
      <c r="G369" s="12" t="str">
        <f t="array" ref="G369">IF($B369="","",IFERROR(INDEX(Accounts!$C$2:$C$100,MATCH($B369,Accounts!$A$2:$A$100,0)),""))</f>
        <v/>
      </c>
      <c r="H369" s="12" t="str">
        <f t="shared" si="0"/>
        <v/>
      </c>
      <c r="I369" s="15" t="str">
        <f t="shared" si="1"/>
        <v/>
      </c>
      <c r="J369" s="16" t="str">
        <f t="shared" si="2"/>
        <v/>
      </c>
    </row>
    <row r="370" customHeight="1" spans="1:10">
      <c r="A370" s="8"/>
      <c r="B370" s="9"/>
      <c r="C370" s="9"/>
      <c r="D370" s="10"/>
      <c r="E370" s="10"/>
      <c r="F370" s="12" t="str">
        <f t="array" ref="F370">IF($B370="","",IFERROR(INDEX(Accounts!$B$2:$B$100,MATCH($B370,Accounts!$A$2:$A$100,0)),""))</f>
        <v/>
      </c>
      <c r="G370" s="12" t="str">
        <f t="array" ref="G370">IF($B370="","",IFERROR(INDEX(Accounts!$C$2:$C$100,MATCH($B370,Accounts!$A$2:$A$100,0)),""))</f>
        <v/>
      </c>
      <c r="H370" s="12" t="str">
        <f t="shared" si="0"/>
        <v/>
      </c>
      <c r="I370" s="15" t="str">
        <f t="shared" si="1"/>
        <v/>
      </c>
      <c r="J370" s="16" t="str">
        <f t="shared" si="2"/>
        <v/>
      </c>
    </row>
    <row r="371" customHeight="1" spans="1:10">
      <c r="A371" s="8"/>
      <c r="B371" s="9"/>
      <c r="C371" s="9"/>
      <c r="D371" s="10"/>
      <c r="E371" s="10"/>
      <c r="F371" s="12" t="str">
        <f t="array" ref="F371">IF($B371="","",IFERROR(INDEX(Accounts!$B$2:$B$100,MATCH($B371,Accounts!$A$2:$A$100,0)),""))</f>
        <v/>
      </c>
      <c r="G371" s="12" t="str">
        <f t="array" ref="G371">IF($B371="","",IFERROR(INDEX(Accounts!$C$2:$C$100,MATCH($B371,Accounts!$A$2:$A$100,0)),""))</f>
        <v/>
      </c>
      <c r="H371" s="12" t="str">
        <f t="shared" si="0"/>
        <v/>
      </c>
      <c r="I371" s="15" t="str">
        <f t="shared" si="1"/>
        <v/>
      </c>
      <c r="J371" s="16" t="str">
        <f t="shared" si="2"/>
        <v/>
      </c>
    </row>
    <row r="372" customHeight="1" spans="1:10">
      <c r="A372" s="8"/>
      <c r="B372" s="9"/>
      <c r="C372" s="9"/>
      <c r="D372" s="10"/>
      <c r="E372" s="10"/>
      <c r="F372" s="12" t="str">
        <f t="array" ref="F372">IF($B372="","",IFERROR(INDEX(Accounts!$B$2:$B$100,MATCH($B372,Accounts!$A$2:$A$100,0)),""))</f>
        <v/>
      </c>
      <c r="G372" s="12" t="str">
        <f t="array" ref="G372">IF($B372="","",IFERROR(INDEX(Accounts!$C$2:$C$100,MATCH($B372,Accounts!$A$2:$A$100,0)),""))</f>
        <v/>
      </c>
      <c r="H372" s="12" t="str">
        <f t="shared" si="0"/>
        <v/>
      </c>
      <c r="I372" s="15" t="str">
        <f t="shared" si="1"/>
        <v/>
      </c>
      <c r="J372" s="16" t="str">
        <f t="shared" si="2"/>
        <v/>
      </c>
    </row>
    <row r="373" customHeight="1" spans="1:10">
      <c r="A373" s="8"/>
      <c r="B373" s="9"/>
      <c r="C373" s="9"/>
      <c r="D373" s="10"/>
      <c r="E373" s="10"/>
      <c r="F373" s="12" t="str">
        <f t="array" ref="F373">IF($B373="","",IFERROR(INDEX(Accounts!$B$2:$B$100,MATCH($B373,Accounts!$A$2:$A$100,0)),""))</f>
        <v/>
      </c>
      <c r="G373" s="12" t="str">
        <f t="array" ref="G373">IF($B373="","",IFERROR(INDEX(Accounts!$C$2:$C$100,MATCH($B373,Accounts!$A$2:$A$100,0)),""))</f>
        <v/>
      </c>
      <c r="H373" s="12" t="str">
        <f t="shared" si="0"/>
        <v/>
      </c>
      <c r="I373" s="15" t="str">
        <f t="shared" si="1"/>
        <v/>
      </c>
      <c r="J373" s="16" t="str">
        <f t="shared" si="2"/>
        <v/>
      </c>
    </row>
    <row r="374" customHeight="1" spans="1:10">
      <c r="A374" s="8"/>
      <c r="B374" s="9"/>
      <c r="C374" s="9"/>
      <c r="D374" s="10"/>
      <c r="E374" s="10"/>
      <c r="F374" s="12" t="str">
        <f t="array" ref="F374">IF($B374="","",IFERROR(INDEX(Accounts!$B$2:$B$100,MATCH($B374,Accounts!$A$2:$A$100,0)),""))</f>
        <v/>
      </c>
      <c r="G374" s="12" t="str">
        <f t="array" ref="G374">IF($B374="","",IFERROR(INDEX(Accounts!$C$2:$C$100,MATCH($B374,Accounts!$A$2:$A$100,0)),""))</f>
        <v/>
      </c>
      <c r="H374" s="12" t="str">
        <f t="shared" si="0"/>
        <v/>
      </c>
      <c r="I374" s="15" t="str">
        <f t="shared" si="1"/>
        <v/>
      </c>
      <c r="J374" s="16" t="str">
        <f t="shared" si="2"/>
        <v/>
      </c>
    </row>
    <row r="375" customHeight="1" spans="1:10">
      <c r="A375" s="8"/>
      <c r="B375" s="9"/>
      <c r="C375" s="9"/>
      <c r="D375" s="10"/>
      <c r="E375" s="10"/>
      <c r="F375" s="12" t="str">
        <f t="array" ref="F375">IF($B375="","",IFERROR(INDEX(Accounts!$B$2:$B$100,MATCH($B375,Accounts!$A$2:$A$100,0)),""))</f>
        <v/>
      </c>
      <c r="G375" s="12" t="str">
        <f t="array" ref="G375">IF($B375="","",IFERROR(INDEX(Accounts!$C$2:$C$100,MATCH($B375,Accounts!$A$2:$A$100,0)),""))</f>
        <v/>
      </c>
      <c r="H375" s="12" t="str">
        <f t="shared" si="0"/>
        <v/>
      </c>
      <c r="I375" s="15" t="str">
        <f t="shared" si="1"/>
        <v/>
      </c>
      <c r="J375" s="16" t="str">
        <f t="shared" si="2"/>
        <v/>
      </c>
    </row>
    <row r="376" customHeight="1" spans="1:10">
      <c r="A376" s="8"/>
      <c r="B376" s="9"/>
      <c r="C376" s="9"/>
      <c r="D376" s="10"/>
      <c r="E376" s="10"/>
      <c r="F376" s="12" t="str">
        <f t="array" ref="F376">IF($B376="","",IFERROR(INDEX(Accounts!$B$2:$B$100,MATCH($B376,Accounts!$A$2:$A$100,0)),""))</f>
        <v/>
      </c>
      <c r="G376" s="12" t="str">
        <f t="array" ref="G376">IF($B376="","",IFERROR(INDEX(Accounts!$C$2:$C$100,MATCH($B376,Accounts!$A$2:$A$100,0)),""))</f>
        <v/>
      </c>
      <c r="H376" s="12" t="str">
        <f t="shared" si="0"/>
        <v/>
      </c>
      <c r="I376" s="15" t="str">
        <f t="shared" si="1"/>
        <v/>
      </c>
      <c r="J376" s="16" t="str">
        <f t="shared" si="2"/>
        <v/>
      </c>
    </row>
    <row r="377" customHeight="1" spans="1:10">
      <c r="A377" s="8"/>
      <c r="B377" s="9"/>
      <c r="C377" s="9"/>
      <c r="D377" s="10"/>
      <c r="E377" s="10"/>
      <c r="F377" s="12" t="str">
        <f t="array" ref="F377">IF($B377="","",IFERROR(INDEX(Accounts!$B$2:$B$100,MATCH($B377,Accounts!$A$2:$A$100,0)),""))</f>
        <v/>
      </c>
      <c r="G377" s="12" t="str">
        <f t="array" ref="G377">IF($B377="","",IFERROR(INDEX(Accounts!$C$2:$C$100,MATCH($B377,Accounts!$A$2:$A$100,0)),""))</f>
        <v/>
      </c>
      <c r="H377" s="12" t="str">
        <f t="shared" si="0"/>
        <v/>
      </c>
      <c r="I377" s="15" t="str">
        <f t="shared" si="1"/>
        <v/>
      </c>
      <c r="J377" s="16" t="str">
        <f t="shared" si="2"/>
        <v/>
      </c>
    </row>
    <row r="378" customHeight="1" spans="1:10">
      <c r="A378" s="8"/>
      <c r="B378" s="9"/>
      <c r="C378" s="9"/>
      <c r="D378" s="10"/>
      <c r="E378" s="10"/>
      <c r="F378" s="12" t="str">
        <f t="array" ref="F378">IF($B378="","",IFERROR(INDEX(Accounts!$B$2:$B$100,MATCH($B378,Accounts!$A$2:$A$100,0)),""))</f>
        <v/>
      </c>
      <c r="G378" s="12" t="str">
        <f t="array" ref="G378">IF($B378="","",IFERROR(INDEX(Accounts!$C$2:$C$100,MATCH($B378,Accounts!$A$2:$A$100,0)),""))</f>
        <v/>
      </c>
      <c r="H378" s="12" t="str">
        <f t="shared" si="0"/>
        <v/>
      </c>
      <c r="I378" s="15" t="str">
        <f t="shared" si="1"/>
        <v/>
      </c>
      <c r="J378" s="16" t="str">
        <f t="shared" si="2"/>
        <v/>
      </c>
    </row>
    <row r="379" customHeight="1" spans="1:10">
      <c r="A379" s="8"/>
      <c r="B379" s="9"/>
      <c r="C379" s="9"/>
      <c r="D379" s="10"/>
      <c r="E379" s="10"/>
      <c r="F379" s="12" t="str">
        <f t="array" ref="F379">IF($B379="","",IFERROR(INDEX(Accounts!$B$2:$B$100,MATCH($B379,Accounts!$A$2:$A$100,0)),""))</f>
        <v/>
      </c>
      <c r="G379" s="12" t="str">
        <f t="array" ref="G379">IF($B379="","",IFERROR(INDEX(Accounts!$C$2:$C$100,MATCH($B379,Accounts!$A$2:$A$100,0)),""))</f>
        <v/>
      </c>
      <c r="H379" s="12" t="str">
        <f t="shared" si="0"/>
        <v/>
      </c>
      <c r="I379" s="15" t="str">
        <f t="shared" si="1"/>
        <v/>
      </c>
      <c r="J379" s="16" t="str">
        <f t="shared" si="2"/>
        <v/>
      </c>
    </row>
    <row r="380" customHeight="1" spans="1:10">
      <c r="A380" s="8"/>
      <c r="B380" s="9"/>
      <c r="C380" s="9"/>
      <c r="D380" s="10"/>
      <c r="E380" s="10"/>
      <c r="F380" s="12" t="str">
        <f t="array" ref="F380">IF($B380="","",IFERROR(INDEX(Accounts!$B$2:$B$100,MATCH($B380,Accounts!$A$2:$A$100,0)),""))</f>
        <v/>
      </c>
      <c r="G380" s="12" t="str">
        <f t="array" ref="G380">IF($B380="","",IFERROR(INDEX(Accounts!$C$2:$C$100,MATCH($B380,Accounts!$A$2:$A$100,0)),""))</f>
        <v/>
      </c>
      <c r="H380" s="12" t="str">
        <f t="shared" si="0"/>
        <v/>
      </c>
      <c r="I380" s="15" t="str">
        <f t="shared" si="1"/>
        <v/>
      </c>
      <c r="J380" s="16" t="str">
        <f t="shared" si="2"/>
        <v/>
      </c>
    </row>
    <row r="381" customHeight="1" spans="1:10">
      <c r="A381" s="8"/>
      <c r="B381" s="9"/>
      <c r="C381" s="9"/>
      <c r="D381" s="10"/>
      <c r="E381" s="10"/>
      <c r="F381" s="12" t="str">
        <f t="array" ref="F381">IF($B381="","",IFERROR(INDEX(Accounts!$B$2:$B$100,MATCH($B381,Accounts!$A$2:$A$100,0)),""))</f>
        <v/>
      </c>
      <c r="G381" s="12" t="str">
        <f t="array" ref="G381">IF($B381="","",IFERROR(INDEX(Accounts!$C$2:$C$100,MATCH($B381,Accounts!$A$2:$A$100,0)),""))</f>
        <v/>
      </c>
      <c r="H381" s="12" t="str">
        <f t="shared" si="0"/>
        <v/>
      </c>
      <c r="I381" s="15" t="str">
        <f t="shared" si="1"/>
        <v/>
      </c>
      <c r="J381" s="16" t="str">
        <f t="shared" si="2"/>
        <v/>
      </c>
    </row>
    <row r="382" customHeight="1" spans="1:10">
      <c r="A382" s="8"/>
      <c r="B382" s="9"/>
      <c r="C382" s="9"/>
      <c r="D382" s="10"/>
      <c r="E382" s="10"/>
      <c r="F382" s="12" t="str">
        <f t="array" ref="F382">IF($B382="","",IFERROR(INDEX(Accounts!$B$2:$B$100,MATCH($B382,Accounts!$A$2:$A$100,0)),""))</f>
        <v/>
      </c>
      <c r="G382" s="12" t="str">
        <f t="array" ref="G382">IF($B382="","",IFERROR(INDEX(Accounts!$C$2:$C$100,MATCH($B382,Accounts!$A$2:$A$100,0)),""))</f>
        <v/>
      </c>
      <c r="H382" s="12" t="str">
        <f t="shared" si="0"/>
        <v/>
      </c>
      <c r="I382" s="15" t="str">
        <f t="shared" si="1"/>
        <v/>
      </c>
      <c r="J382" s="16" t="str">
        <f t="shared" si="2"/>
        <v/>
      </c>
    </row>
    <row r="383" customHeight="1" spans="1:10">
      <c r="A383" s="8"/>
      <c r="B383" s="9"/>
      <c r="C383" s="9"/>
      <c r="D383" s="10"/>
      <c r="E383" s="10"/>
      <c r="F383" s="12" t="str">
        <f t="array" ref="F383">IF($B383="","",IFERROR(INDEX(Accounts!$B$2:$B$100,MATCH($B383,Accounts!$A$2:$A$100,0)),""))</f>
        <v/>
      </c>
      <c r="G383" s="12" t="str">
        <f t="array" ref="G383">IF($B383="","",IFERROR(INDEX(Accounts!$C$2:$C$100,MATCH($B383,Accounts!$A$2:$A$100,0)),""))</f>
        <v/>
      </c>
      <c r="H383" s="12" t="str">
        <f t="shared" si="0"/>
        <v/>
      </c>
      <c r="I383" s="15" t="str">
        <f t="shared" si="1"/>
        <v/>
      </c>
      <c r="J383" s="16" t="str">
        <f t="shared" si="2"/>
        <v/>
      </c>
    </row>
    <row r="384" customHeight="1" spans="1:10">
      <c r="A384" s="8"/>
      <c r="B384" s="9"/>
      <c r="C384" s="9"/>
      <c r="D384" s="10"/>
      <c r="E384" s="10"/>
      <c r="F384" s="12" t="str">
        <f t="array" ref="F384">IF($B384="","",IFERROR(INDEX(Accounts!$B$2:$B$100,MATCH($B384,Accounts!$A$2:$A$100,0)),""))</f>
        <v/>
      </c>
      <c r="G384" s="12" t="str">
        <f t="array" ref="G384">IF($B384="","",IFERROR(INDEX(Accounts!$C$2:$C$100,MATCH($B384,Accounts!$A$2:$A$100,0)),""))</f>
        <v/>
      </c>
      <c r="H384" s="12" t="str">
        <f t="shared" si="0"/>
        <v/>
      </c>
      <c r="I384" s="15" t="str">
        <f t="shared" si="1"/>
        <v/>
      </c>
      <c r="J384" s="16" t="str">
        <f t="shared" si="2"/>
        <v/>
      </c>
    </row>
    <row r="385" customHeight="1" spans="1:10">
      <c r="A385" s="8"/>
      <c r="B385" s="9"/>
      <c r="C385" s="9"/>
      <c r="D385" s="10"/>
      <c r="E385" s="10"/>
      <c r="F385" s="12" t="str">
        <f t="array" ref="F385">IF($B385="","",IFERROR(INDEX(Accounts!$B$2:$B$100,MATCH($B385,Accounts!$A$2:$A$100,0)),""))</f>
        <v/>
      </c>
      <c r="G385" s="12" t="str">
        <f t="array" ref="G385">IF($B385="","",IFERROR(INDEX(Accounts!$C$2:$C$100,MATCH($B385,Accounts!$A$2:$A$100,0)),""))</f>
        <v/>
      </c>
      <c r="H385" s="12" t="str">
        <f t="shared" si="0"/>
        <v/>
      </c>
      <c r="I385" s="15" t="str">
        <f t="shared" si="1"/>
        <v/>
      </c>
      <c r="J385" s="16" t="str">
        <f t="shared" si="2"/>
        <v/>
      </c>
    </row>
    <row r="386" customHeight="1" spans="1:10">
      <c r="A386" s="8"/>
      <c r="B386" s="9"/>
      <c r="C386" s="9"/>
      <c r="D386" s="10"/>
      <c r="E386" s="10"/>
      <c r="F386" s="12" t="str">
        <f t="array" ref="F386">IF($B386="","",IFERROR(INDEX(Accounts!$B$2:$B$100,MATCH($B386,Accounts!$A$2:$A$100,0)),""))</f>
        <v/>
      </c>
      <c r="G386" s="12" t="str">
        <f t="array" ref="G386">IF($B386="","",IFERROR(INDEX(Accounts!$C$2:$C$100,MATCH($B386,Accounts!$A$2:$A$100,0)),""))</f>
        <v/>
      </c>
      <c r="H386" s="12" t="str">
        <f t="shared" si="0"/>
        <v/>
      </c>
      <c r="I386" s="15" t="str">
        <f t="shared" si="1"/>
        <v/>
      </c>
      <c r="J386" s="16" t="str">
        <f t="shared" si="2"/>
        <v/>
      </c>
    </row>
    <row r="387" customHeight="1" spans="1:10">
      <c r="A387" s="8"/>
      <c r="B387" s="9"/>
      <c r="C387" s="9"/>
      <c r="D387" s="10"/>
      <c r="E387" s="10"/>
      <c r="F387" s="12" t="str">
        <f t="array" ref="F387">IF($B387="","",IFERROR(INDEX(Accounts!$B$2:$B$100,MATCH($B387,Accounts!$A$2:$A$100,0)),""))</f>
        <v/>
      </c>
      <c r="G387" s="12" t="str">
        <f t="array" ref="G387">IF($B387="","",IFERROR(INDEX(Accounts!$C$2:$C$100,MATCH($B387,Accounts!$A$2:$A$100,0)),""))</f>
        <v/>
      </c>
      <c r="H387" s="12" t="str">
        <f t="shared" si="0"/>
        <v/>
      </c>
      <c r="I387" s="15" t="str">
        <f t="shared" si="1"/>
        <v/>
      </c>
      <c r="J387" s="16" t="str">
        <f t="shared" si="2"/>
        <v/>
      </c>
    </row>
    <row r="388" customHeight="1" spans="1:10">
      <c r="A388" s="8"/>
      <c r="B388" s="9"/>
      <c r="C388" s="9"/>
      <c r="D388" s="10"/>
      <c r="E388" s="10"/>
      <c r="F388" s="12" t="str">
        <f t="array" ref="F388">IF($B388="","",IFERROR(INDEX(Accounts!$B$2:$B$100,MATCH($B388,Accounts!$A$2:$A$100,0)),""))</f>
        <v/>
      </c>
      <c r="G388" s="12" t="str">
        <f t="array" ref="G388">IF($B388="","",IFERROR(INDEX(Accounts!$C$2:$C$100,MATCH($B388,Accounts!$A$2:$A$100,0)),""))</f>
        <v/>
      </c>
      <c r="H388" s="12" t="str">
        <f t="shared" si="0"/>
        <v/>
      </c>
      <c r="I388" s="15" t="str">
        <f t="shared" si="1"/>
        <v/>
      </c>
      <c r="J388" s="16" t="str">
        <f t="shared" si="2"/>
        <v/>
      </c>
    </row>
    <row r="389" customHeight="1" spans="1:10">
      <c r="A389" s="8"/>
      <c r="B389" s="9"/>
      <c r="C389" s="9"/>
      <c r="D389" s="10"/>
      <c r="E389" s="10"/>
      <c r="F389" s="12" t="str">
        <f t="array" ref="F389">IF($B389="","",IFERROR(INDEX(Accounts!$B$2:$B$100,MATCH($B389,Accounts!$A$2:$A$100,0)),""))</f>
        <v/>
      </c>
      <c r="G389" s="12" t="str">
        <f t="array" ref="G389">IF($B389="","",IFERROR(INDEX(Accounts!$C$2:$C$100,MATCH($B389,Accounts!$A$2:$A$100,0)),""))</f>
        <v/>
      </c>
      <c r="H389" s="12" t="str">
        <f t="shared" si="0"/>
        <v/>
      </c>
      <c r="I389" s="15" t="str">
        <f t="shared" si="1"/>
        <v/>
      </c>
      <c r="J389" s="16" t="str">
        <f t="shared" si="2"/>
        <v/>
      </c>
    </row>
    <row r="390" customHeight="1" spans="1:10">
      <c r="A390" s="8"/>
      <c r="B390" s="9"/>
      <c r="C390" s="9"/>
      <c r="D390" s="10"/>
      <c r="E390" s="10"/>
      <c r="F390" s="12" t="str">
        <f t="array" ref="F390">IF($B390="","",IFERROR(INDEX(Accounts!$B$2:$B$100,MATCH($B390,Accounts!$A$2:$A$100,0)),""))</f>
        <v/>
      </c>
      <c r="G390" s="12" t="str">
        <f t="array" ref="G390">IF($B390="","",IFERROR(INDEX(Accounts!$C$2:$C$100,MATCH($B390,Accounts!$A$2:$A$100,0)),""))</f>
        <v/>
      </c>
      <c r="H390" s="12" t="str">
        <f t="shared" si="0"/>
        <v/>
      </c>
      <c r="I390" s="15" t="str">
        <f t="shared" si="1"/>
        <v/>
      </c>
      <c r="J390" s="16" t="str">
        <f t="shared" si="2"/>
        <v/>
      </c>
    </row>
    <row r="391" customHeight="1" spans="1:10">
      <c r="A391" s="8"/>
      <c r="B391" s="9"/>
      <c r="C391" s="9"/>
      <c r="D391" s="10"/>
      <c r="E391" s="10"/>
      <c r="F391" s="12" t="str">
        <f t="array" ref="F391">IF($B391="","",IFERROR(INDEX(Accounts!$B$2:$B$100,MATCH($B391,Accounts!$A$2:$A$100,0)),""))</f>
        <v/>
      </c>
      <c r="G391" s="12" t="str">
        <f t="array" ref="G391">IF($B391="","",IFERROR(INDEX(Accounts!$C$2:$C$100,MATCH($B391,Accounts!$A$2:$A$100,0)),""))</f>
        <v/>
      </c>
      <c r="H391" s="12" t="str">
        <f t="shared" si="0"/>
        <v/>
      </c>
      <c r="I391" s="15" t="str">
        <f t="shared" si="1"/>
        <v/>
      </c>
      <c r="J391" s="16" t="str">
        <f t="shared" si="2"/>
        <v/>
      </c>
    </row>
    <row r="392" customHeight="1" spans="1:10">
      <c r="A392" s="8"/>
      <c r="B392" s="9"/>
      <c r="C392" s="9"/>
      <c r="D392" s="10"/>
      <c r="E392" s="10"/>
      <c r="F392" s="12" t="str">
        <f t="array" ref="F392">IF($B392="","",IFERROR(INDEX(Accounts!$B$2:$B$100,MATCH($B392,Accounts!$A$2:$A$100,0)),""))</f>
        <v/>
      </c>
      <c r="G392" s="12" t="str">
        <f t="array" ref="G392">IF($B392="","",IFERROR(INDEX(Accounts!$C$2:$C$100,MATCH($B392,Accounts!$A$2:$A$100,0)),""))</f>
        <v/>
      </c>
      <c r="H392" s="12" t="str">
        <f t="shared" si="0"/>
        <v/>
      </c>
      <c r="I392" s="15" t="str">
        <f t="shared" si="1"/>
        <v/>
      </c>
      <c r="J392" s="16" t="str">
        <f t="shared" si="2"/>
        <v/>
      </c>
    </row>
    <row r="393" customHeight="1" spans="1:10">
      <c r="A393" s="8"/>
      <c r="B393" s="9"/>
      <c r="C393" s="9"/>
      <c r="D393" s="10"/>
      <c r="E393" s="10"/>
      <c r="F393" s="12" t="str">
        <f t="array" ref="F393">IF($B393="","",IFERROR(INDEX(Accounts!$B$2:$B$100,MATCH($B393,Accounts!$A$2:$A$100,0)),""))</f>
        <v/>
      </c>
      <c r="G393" s="12" t="str">
        <f t="array" ref="G393">IF($B393="","",IFERROR(INDEX(Accounts!$C$2:$C$100,MATCH($B393,Accounts!$A$2:$A$100,0)),""))</f>
        <v/>
      </c>
      <c r="H393" s="12" t="str">
        <f t="shared" si="0"/>
        <v/>
      </c>
      <c r="I393" s="15" t="str">
        <f t="shared" si="1"/>
        <v/>
      </c>
      <c r="J393" s="16" t="str">
        <f t="shared" si="2"/>
        <v/>
      </c>
    </row>
    <row r="394" customHeight="1" spans="1:10">
      <c r="A394" s="8"/>
      <c r="B394" s="9"/>
      <c r="C394" s="9"/>
      <c r="D394" s="10"/>
      <c r="E394" s="10"/>
      <c r="F394" s="12" t="str">
        <f t="array" ref="F394">IF($B394="","",IFERROR(INDEX(Accounts!$B$2:$B$100,MATCH($B394,Accounts!$A$2:$A$100,0)),""))</f>
        <v/>
      </c>
      <c r="G394" s="12" t="str">
        <f t="array" ref="G394">IF($B394="","",IFERROR(INDEX(Accounts!$C$2:$C$100,MATCH($B394,Accounts!$A$2:$A$100,0)),""))</f>
        <v/>
      </c>
      <c r="H394" s="12" t="str">
        <f t="shared" si="0"/>
        <v/>
      </c>
      <c r="I394" s="15" t="str">
        <f t="shared" si="1"/>
        <v/>
      </c>
      <c r="J394" s="16" t="str">
        <f t="shared" si="2"/>
        <v/>
      </c>
    </row>
    <row r="395" customHeight="1" spans="1:10">
      <c r="A395" s="8"/>
      <c r="B395" s="9"/>
      <c r="C395" s="9"/>
      <c r="D395" s="10"/>
      <c r="E395" s="10"/>
      <c r="F395" s="12" t="str">
        <f t="array" ref="F395">IF($B395="","",IFERROR(INDEX(Accounts!$B$2:$B$100,MATCH($B395,Accounts!$A$2:$A$100,0)),""))</f>
        <v/>
      </c>
      <c r="G395" s="12" t="str">
        <f t="array" ref="G395">IF($B395="","",IFERROR(INDEX(Accounts!$C$2:$C$100,MATCH($B395,Accounts!$A$2:$A$100,0)),""))</f>
        <v/>
      </c>
      <c r="H395" s="12" t="str">
        <f t="shared" si="0"/>
        <v/>
      </c>
      <c r="I395" s="15" t="str">
        <f t="shared" si="1"/>
        <v/>
      </c>
      <c r="J395" s="16" t="str">
        <f t="shared" si="2"/>
        <v/>
      </c>
    </row>
    <row r="396" customHeight="1" spans="1:10">
      <c r="A396" s="8"/>
      <c r="B396" s="9"/>
      <c r="C396" s="9"/>
      <c r="D396" s="10"/>
      <c r="E396" s="10"/>
      <c r="F396" s="12" t="str">
        <f t="array" ref="F396">IF($B396="","",IFERROR(INDEX(Accounts!$B$2:$B$100,MATCH($B396,Accounts!$A$2:$A$100,0)),""))</f>
        <v/>
      </c>
      <c r="G396" s="12" t="str">
        <f t="array" ref="G396">IF($B396="","",IFERROR(INDEX(Accounts!$C$2:$C$100,MATCH($B396,Accounts!$A$2:$A$100,0)),""))</f>
        <v/>
      </c>
      <c r="H396" s="12" t="str">
        <f t="shared" si="0"/>
        <v/>
      </c>
      <c r="I396" s="15" t="str">
        <f t="shared" si="1"/>
        <v/>
      </c>
      <c r="J396" s="16" t="str">
        <f t="shared" si="2"/>
        <v/>
      </c>
    </row>
    <row r="397" customHeight="1" spans="1:10">
      <c r="A397" s="8"/>
      <c r="B397" s="9"/>
      <c r="C397" s="9"/>
      <c r="D397" s="10"/>
      <c r="E397" s="10"/>
      <c r="F397" s="12" t="str">
        <f t="array" ref="F397">IF($B397="","",IFERROR(INDEX(Accounts!$B$2:$B$100,MATCH($B397,Accounts!$A$2:$A$100,0)),""))</f>
        <v/>
      </c>
      <c r="G397" s="12" t="str">
        <f t="array" ref="G397">IF($B397="","",IFERROR(INDEX(Accounts!$C$2:$C$100,MATCH($B397,Accounts!$A$2:$A$100,0)),""))</f>
        <v/>
      </c>
      <c r="H397" s="12" t="str">
        <f t="shared" si="0"/>
        <v/>
      </c>
      <c r="I397" s="15" t="str">
        <f t="shared" si="1"/>
        <v/>
      </c>
      <c r="J397" s="16" t="str">
        <f t="shared" si="2"/>
        <v/>
      </c>
    </row>
    <row r="398" customHeight="1" spans="1:10">
      <c r="A398" s="8"/>
      <c r="B398" s="9"/>
      <c r="C398" s="9"/>
      <c r="D398" s="10"/>
      <c r="E398" s="10"/>
      <c r="F398" s="12" t="str">
        <f t="array" ref="F398">IF($B398="","",IFERROR(INDEX(Accounts!$B$2:$B$100,MATCH($B398,Accounts!$A$2:$A$100,0)),""))</f>
        <v/>
      </c>
      <c r="G398" s="12" t="str">
        <f t="array" ref="G398">IF($B398="","",IFERROR(INDEX(Accounts!$C$2:$C$100,MATCH($B398,Accounts!$A$2:$A$100,0)),""))</f>
        <v/>
      </c>
      <c r="H398" s="12" t="str">
        <f t="shared" si="0"/>
        <v/>
      </c>
      <c r="I398" s="15" t="str">
        <f t="shared" si="1"/>
        <v/>
      </c>
      <c r="J398" s="16" t="str">
        <f t="shared" si="2"/>
        <v/>
      </c>
    </row>
    <row r="399" customHeight="1" spans="1:10">
      <c r="A399" s="8"/>
      <c r="B399" s="9"/>
      <c r="C399" s="9"/>
      <c r="D399" s="10"/>
      <c r="E399" s="10"/>
      <c r="F399" s="12" t="str">
        <f t="array" ref="F399">IF($B399="","",IFERROR(INDEX(Accounts!$B$2:$B$100,MATCH($B399,Accounts!$A$2:$A$100,0)),""))</f>
        <v/>
      </c>
      <c r="G399" s="12" t="str">
        <f t="array" ref="G399">IF($B399="","",IFERROR(INDEX(Accounts!$C$2:$C$100,MATCH($B399,Accounts!$A$2:$A$100,0)),""))</f>
        <v/>
      </c>
      <c r="H399" s="12" t="str">
        <f t="shared" si="0"/>
        <v/>
      </c>
      <c r="I399" s="15" t="str">
        <f t="shared" si="1"/>
        <v/>
      </c>
      <c r="J399" s="16" t="str">
        <f t="shared" si="2"/>
        <v/>
      </c>
    </row>
    <row r="400" customHeight="1" spans="1:10">
      <c r="A400" s="8"/>
      <c r="B400" s="9"/>
      <c r="C400" s="9"/>
      <c r="D400" s="10"/>
      <c r="E400" s="10"/>
      <c r="F400" s="12" t="str">
        <f t="array" ref="F400">IF($B400="","",IFERROR(INDEX(Accounts!$B$2:$B$100,MATCH($B400,Accounts!$A$2:$A$100,0)),""))</f>
        <v/>
      </c>
      <c r="G400" s="12" t="str">
        <f t="array" ref="G400">IF($B400="","",IFERROR(INDEX(Accounts!$C$2:$C$100,MATCH($B400,Accounts!$A$2:$A$100,0)),""))</f>
        <v/>
      </c>
      <c r="H400" s="12" t="str">
        <f t="shared" si="0"/>
        <v/>
      </c>
      <c r="I400" s="15" t="str">
        <f t="shared" si="1"/>
        <v/>
      </c>
      <c r="J400" s="16" t="str">
        <f t="shared" si="2"/>
        <v/>
      </c>
    </row>
    <row r="401" customHeight="1" spans="1:10">
      <c r="A401" s="8"/>
      <c r="B401" s="9"/>
      <c r="C401" s="9"/>
      <c r="D401" s="10"/>
      <c r="E401" s="10"/>
      <c r="F401" s="12" t="str">
        <f t="array" ref="F401">IF($B401="","",IFERROR(INDEX(Accounts!$B$2:$B$100,MATCH($B401,Accounts!$A$2:$A$100,0)),""))</f>
        <v/>
      </c>
      <c r="G401" s="12" t="str">
        <f t="array" ref="G401">IF($B401="","",IFERROR(INDEX(Accounts!$C$2:$C$100,MATCH($B401,Accounts!$A$2:$A$100,0)),""))</f>
        <v/>
      </c>
      <c r="H401" s="12" t="str">
        <f t="shared" si="0"/>
        <v/>
      </c>
      <c r="I401" s="15" t="str">
        <f t="shared" si="1"/>
        <v/>
      </c>
      <c r="J401" s="16" t="str">
        <f t="shared" si="2"/>
        <v/>
      </c>
    </row>
    <row r="402" customHeight="1" spans="1:10">
      <c r="A402" s="8"/>
      <c r="B402" s="9"/>
      <c r="C402" s="9"/>
      <c r="D402" s="10"/>
      <c r="E402" s="10"/>
      <c r="F402" s="12" t="str">
        <f t="array" ref="F402">IF($B402="","",IFERROR(INDEX(Accounts!$B$2:$B$100,MATCH($B402,Accounts!$A$2:$A$100,0)),""))</f>
        <v/>
      </c>
      <c r="G402" s="12" t="str">
        <f t="array" ref="G402">IF($B402="","",IFERROR(INDEX(Accounts!$C$2:$C$100,MATCH($B402,Accounts!$A$2:$A$100,0)),""))</f>
        <v/>
      </c>
      <c r="H402" s="12" t="str">
        <f t="shared" si="0"/>
        <v/>
      </c>
      <c r="I402" s="15" t="str">
        <f t="shared" si="1"/>
        <v/>
      </c>
      <c r="J402" s="16" t="str">
        <f t="shared" si="2"/>
        <v/>
      </c>
    </row>
    <row r="403" customHeight="1" spans="1:10">
      <c r="A403" s="8"/>
      <c r="B403" s="9"/>
      <c r="C403" s="9"/>
      <c r="D403" s="10"/>
      <c r="E403" s="10"/>
      <c r="F403" s="12" t="str">
        <f t="array" ref="F403">IF($B403="","",IFERROR(INDEX(Accounts!$B$2:$B$100,MATCH($B403,Accounts!$A$2:$A$100,0)),""))</f>
        <v/>
      </c>
      <c r="G403" s="12" t="str">
        <f t="array" ref="G403">IF($B403="","",IFERROR(INDEX(Accounts!$C$2:$C$100,MATCH($B403,Accounts!$A$2:$A$100,0)),""))</f>
        <v/>
      </c>
      <c r="H403" s="12" t="str">
        <f t="shared" si="0"/>
        <v/>
      </c>
      <c r="I403" s="15" t="str">
        <f t="shared" si="1"/>
        <v/>
      </c>
      <c r="J403" s="16" t="str">
        <f t="shared" si="2"/>
        <v/>
      </c>
    </row>
    <row r="404" customHeight="1" spans="1:10">
      <c r="A404" s="8"/>
      <c r="B404" s="9"/>
      <c r="C404" s="9"/>
      <c r="D404" s="10"/>
      <c r="E404" s="10"/>
      <c r="F404" s="12" t="str">
        <f t="array" ref="F404">IF($B404="","",IFERROR(INDEX(Accounts!$B$2:$B$100,MATCH($B404,Accounts!$A$2:$A$100,0)),""))</f>
        <v/>
      </c>
      <c r="G404" s="12" t="str">
        <f t="array" ref="G404">IF($B404="","",IFERROR(INDEX(Accounts!$C$2:$C$100,MATCH($B404,Accounts!$A$2:$A$100,0)),""))</f>
        <v/>
      </c>
      <c r="H404" s="12" t="str">
        <f t="shared" si="0"/>
        <v/>
      </c>
      <c r="I404" s="15" t="str">
        <f t="shared" si="1"/>
        <v/>
      </c>
      <c r="J404" s="16" t="str">
        <f t="shared" si="2"/>
        <v/>
      </c>
    </row>
    <row r="405" customHeight="1" spans="1:10">
      <c r="A405" s="8"/>
      <c r="B405" s="9"/>
      <c r="C405" s="9"/>
      <c r="D405" s="10"/>
      <c r="E405" s="10"/>
      <c r="F405" s="12" t="str">
        <f t="array" ref="F405">IF($B405="","",IFERROR(INDEX(Accounts!$B$2:$B$100,MATCH($B405,Accounts!$A$2:$A$100,0)),""))</f>
        <v/>
      </c>
      <c r="G405" s="12" t="str">
        <f t="array" ref="G405">IF($B405="","",IFERROR(INDEX(Accounts!$C$2:$C$100,MATCH($B405,Accounts!$A$2:$A$100,0)),""))</f>
        <v/>
      </c>
      <c r="H405" s="12" t="str">
        <f t="shared" si="0"/>
        <v/>
      </c>
      <c r="I405" s="15" t="str">
        <f t="shared" si="1"/>
        <v/>
      </c>
      <c r="J405" s="16" t="str">
        <f t="shared" si="2"/>
        <v/>
      </c>
    </row>
    <row r="406" customHeight="1" spans="1:10">
      <c r="A406" s="8"/>
      <c r="B406" s="9"/>
      <c r="C406" s="9"/>
      <c r="D406" s="10"/>
      <c r="E406" s="10"/>
      <c r="F406" s="12" t="str">
        <f t="array" ref="F406">IF($B406="","",IFERROR(INDEX(Accounts!$B$2:$B$100,MATCH($B406,Accounts!$A$2:$A$100,0)),""))</f>
        <v/>
      </c>
      <c r="G406" s="12" t="str">
        <f t="array" ref="G406">IF($B406="","",IFERROR(INDEX(Accounts!$C$2:$C$100,MATCH($B406,Accounts!$A$2:$A$100,0)),""))</f>
        <v/>
      </c>
      <c r="H406" s="12" t="str">
        <f t="shared" si="0"/>
        <v/>
      </c>
      <c r="I406" s="15" t="str">
        <f t="shared" si="1"/>
        <v/>
      </c>
      <c r="J406" s="16" t="str">
        <f t="shared" si="2"/>
        <v/>
      </c>
    </row>
    <row r="407" customHeight="1" spans="1:10">
      <c r="A407" s="8"/>
      <c r="B407" s="9"/>
      <c r="C407" s="9"/>
      <c r="D407" s="10"/>
      <c r="E407" s="10"/>
      <c r="F407" s="12" t="str">
        <f t="array" ref="F407">IF($B407="","",IFERROR(INDEX(Accounts!$B$2:$B$100,MATCH($B407,Accounts!$A$2:$A$100,0)),""))</f>
        <v/>
      </c>
      <c r="G407" s="12" t="str">
        <f t="array" ref="G407">IF($B407="","",IFERROR(INDEX(Accounts!$C$2:$C$100,MATCH($B407,Accounts!$A$2:$A$100,0)),""))</f>
        <v/>
      </c>
      <c r="H407" s="12" t="str">
        <f t="shared" si="0"/>
        <v/>
      </c>
      <c r="I407" s="15" t="str">
        <f t="shared" si="1"/>
        <v/>
      </c>
      <c r="J407" s="16" t="str">
        <f t="shared" si="2"/>
        <v/>
      </c>
    </row>
    <row r="408" customHeight="1" spans="1:10">
      <c r="A408" s="8"/>
      <c r="B408" s="9"/>
      <c r="C408" s="9"/>
      <c r="D408" s="10"/>
      <c r="E408" s="10"/>
      <c r="F408" s="12" t="str">
        <f t="array" ref="F408">IF($B408="","",IFERROR(INDEX(Accounts!$B$2:$B$100,MATCH($B408,Accounts!$A$2:$A$100,0)),""))</f>
        <v/>
      </c>
      <c r="G408" s="12" t="str">
        <f t="array" ref="G408">IF($B408="","",IFERROR(INDEX(Accounts!$C$2:$C$100,MATCH($B408,Accounts!$A$2:$A$100,0)),""))</f>
        <v/>
      </c>
      <c r="H408" s="12" t="str">
        <f t="shared" si="0"/>
        <v/>
      </c>
      <c r="I408" s="15" t="str">
        <f t="shared" si="1"/>
        <v/>
      </c>
      <c r="J408" s="16" t="str">
        <f t="shared" si="2"/>
        <v/>
      </c>
    </row>
    <row r="409" customHeight="1" spans="1:10">
      <c r="A409" s="8"/>
      <c r="B409" s="9"/>
      <c r="C409" s="9"/>
      <c r="D409" s="10"/>
      <c r="E409" s="10"/>
      <c r="F409" s="12" t="str">
        <f t="array" ref="F409">IF($B409="","",IFERROR(INDEX(Accounts!$B$2:$B$100,MATCH($B409,Accounts!$A$2:$A$100,0)),""))</f>
        <v/>
      </c>
      <c r="G409" s="12" t="str">
        <f t="array" ref="G409">IF($B409="","",IFERROR(INDEX(Accounts!$C$2:$C$100,MATCH($B409,Accounts!$A$2:$A$100,0)),""))</f>
        <v/>
      </c>
      <c r="H409" s="12" t="str">
        <f t="shared" si="0"/>
        <v/>
      </c>
      <c r="I409" s="15" t="str">
        <f t="shared" si="1"/>
        <v/>
      </c>
      <c r="J409" s="16" t="str">
        <f t="shared" si="2"/>
        <v/>
      </c>
    </row>
    <row r="410" customHeight="1" spans="1:10">
      <c r="A410" s="8"/>
      <c r="B410" s="9"/>
      <c r="C410" s="9"/>
      <c r="D410" s="10"/>
      <c r="E410" s="10"/>
      <c r="F410" s="12" t="str">
        <f t="array" ref="F410">IF($B410="","",IFERROR(INDEX(Accounts!$B$2:$B$100,MATCH($B410,Accounts!$A$2:$A$100,0)),""))</f>
        <v/>
      </c>
      <c r="G410" s="12" t="str">
        <f t="array" ref="G410">IF($B410="","",IFERROR(INDEX(Accounts!$C$2:$C$100,MATCH($B410,Accounts!$A$2:$A$100,0)),""))</f>
        <v/>
      </c>
      <c r="H410" s="12" t="str">
        <f t="shared" si="0"/>
        <v/>
      </c>
      <c r="I410" s="15" t="str">
        <f t="shared" si="1"/>
        <v/>
      </c>
      <c r="J410" s="16" t="str">
        <f t="shared" si="2"/>
        <v/>
      </c>
    </row>
    <row r="411" customHeight="1" spans="1:10">
      <c r="A411" s="8"/>
      <c r="B411" s="9"/>
      <c r="C411" s="9"/>
      <c r="D411" s="10"/>
      <c r="E411" s="10"/>
      <c r="F411" s="12" t="str">
        <f t="array" ref="F411">IF($B411="","",IFERROR(INDEX(Accounts!$B$2:$B$100,MATCH($B411,Accounts!$A$2:$A$100,0)),""))</f>
        <v/>
      </c>
      <c r="G411" s="12" t="str">
        <f t="array" ref="G411">IF($B411="","",IFERROR(INDEX(Accounts!$C$2:$C$100,MATCH($B411,Accounts!$A$2:$A$100,0)),""))</f>
        <v/>
      </c>
      <c r="H411" s="12" t="str">
        <f t="shared" si="0"/>
        <v/>
      </c>
      <c r="I411" s="15" t="str">
        <f t="shared" si="1"/>
        <v/>
      </c>
      <c r="J411" s="16" t="str">
        <f t="shared" si="2"/>
        <v/>
      </c>
    </row>
    <row r="412" customHeight="1" spans="1:10">
      <c r="A412" s="8"/>
      <c r="B412" s="9"/>
      <c r="C412" s="9"/>
      <c r="D412" s="10"/>
      <c r="E412" s="10"/>
      <c r="F412" s="12" t="str">
        <f t="array" ref="F412">IF($B412="","",IFERROR(INDEX(Accounts!$B$2:$B$100,MATCH($B412,Accounts!$A$2:$A$100,0)),""))</f>
        <v/>
      </c>
      <c r="G412" s="12" t="str">
        <f t="array" ref="G412">IF($B412="","",IFERROR(INDEX(Accounts!$C$2:$C$100,MATCH($B412,Accounts!$A$2:$A$100,0)),""))</f>
        <v/>
      </c>
      <c r="H412" s="12" t="str">
        <f t="shared" si="0"/>
        <v/>
      </c>
      <c r="I412" s="15" t="str">
        <f t="shared" si="1"/>
        <v/>
      </c>
      <c r="J412" s="16" t="str">
        <f t="shared" si="2"/>
        <v/>
      </c>
    </row>
    <row r="413" customHeight="1" spans="1:10">
      <c r="A413" s="8"/>
      <c r="B413" s="9"/>
      <c r="C413" s="9"/>
      <c r="D413" s="10"/>
      <c r="E413" s="10"/>
      <c r="F413" s="12" t="str">
        <f t="array" ref="F413">IF($B413="","",IFERROR(INDEX(Accounts!$B$2:$B$100,MATCH($B413,Accounts!$A$2:$A$100,0)),""))</f>
        <v/>
      </c>
      <c r="G413" s="12" t="str">
        <f t="array" ref="G413">IF($B413="","",IFERROR(INDEX(Accounts!$C$2:$C$100,MATCH($B413,Accounts!$A$2:$A$100,0)),""))</f>
        <v/>
      </c>
      <c r="H413" s="12" t="str">
        <f t="shared" si="0"/>
        <v/>
      </c>
      <c r="I413" s="15" t="str">
        <f t="shared" si="1"/>
        <v/>
      </c>
      <c r="J413" s="16" t="str">
        <f t="shared" si="2"/>
        <v/>
      </c>
    </row>
    <row r="414" customHeight="1" spans="1:10">
      <c r="A414" s="8"/>
      <c r="B414" s="9"/>
      <c r="C414" s="9"/>
      <c r="D414" s="10"/>
      <c r="E414" s="10"/>
      <c r="F414" s="12" t="str">
        <f t="array" ref="F414">IF($B414="","",IFERROR(INDEX(Accounts!$B$2:$B$100,MATCH($B414,Accounts!$A$2:$A$100,0)),""))</f>
        <v/>
      </c>
      <c r="G414" s="12" t="str">
        <f t="array" ref="G414">IF($B414="","",IFERROR(INDEX(Accounts!$C$2:$C$100,MATCH($B414,Accounts!$A$2:$A$100,0)),""))</f>
        <v/>
      </c>
      <c r="H414" s="12" t="str">
        <f t="shared" si="0"/>
        <v/>
      </c>
      <c r="I414" s="15" t="str">
        <f t="shared" si="1"/>
        <v/>
      </c>
      <c r="J414" s="16" t="str">
        <f t="shared" si="2"/>
        <v/>
      </c>
    </row>
    <row r="415" customHeight="1" spans="1:10">
      <c r="A415" s="8"/>
      <c r="B415" s="9"/>
      <c r="C415" s="9"/>
      <c r="D415" s="10"/>
      <c r="E415" s="10"/>
      <c r="F415" s="12" t="str">
        <f t="array" ref="F415">IF($B415="","",IFERROR(INDEX(Accounts!$B$2:$B$100,MATCH($B415,Accounts!$A$2:$A$100,0)),""))</f>
        <v/>
      </c>
      <c r="G415" s="12" t="str">
        <f t="array" ref="G415">IF($B415="","",IFERROR(INDEX(Accounts!$C$2:$C$100,MATCH($B415,Accounts!$A$2:$A$100,0)),""))</f>
        <v/>
      </c>
      <c r="H415" s="12" t="str">
        <f t="shared" si="0"/>
        <v/>
      </c>
      <c r="I415" s="15" t="str">
        <f t="shared" si="1"/>
        <v/>
      </c>
      <c r="J415" s="16" t="str">
        <f t="shared" si="2"/>
        <v/>
      </c>
    </row>
    <row r="416" customHeight="1" spans="1:10">
      <c r="A416" s="8"/>
      <c r="B416" s="9"/>
      <c r="C416" s="9"/>
      <c r="D416" s="10"/>
      <c r="E416" s="10"/>
      <c r="F416" s="12" t="str">
        <f t="array" ref="F416">IF($B416="","",IFERROR(INDEX(Accounts!$B$2:$B$100,MATCH($B416,Accounts!$A$2:$A$100,0)),""))</f>
        <v/>
      </c>
      <c r="G416" s="12" t="str">
        <f t="array" ref="G416">IF($B416="","",IFERROR(INDEX(Accounts!$C$2:$C$100,MATCH($B416,Accounts!$A$2:$A$100,0)),""))</f>
        <v/>
      </c>
      <c r="H416" s="12" t="str">
        <f t="shared" si="0"/>
        <v/>
      </c>
      <c r="I416" s="15" t="str">
        <f t="shared" si="1"/>
        <v/>
      </c>
      <c r="J416" s="16" t="str">
        <f t="shared" si="2"/>
        <v/>
      </c>
    </row>
    <row r="417" customHeight="1" spans="1:10">
      <c r="A417" s="8"/>
      <c r="B417" s="9"/>
      <c r="C417" s="9"/>
      <c r="D417" s="10"/>
      <c r="E417" s="10"/>
      <c r="F417" s="12" t="str">
        <f t="array" ref="F417">IF($B417="","",IFERROR(INDEX(Accounts!$B$2:$B$100,MATCH($B417,Accounts!$A$2:$A$100,0)),""))</f>
        <v/>
      </c>
      <c r="G417" s="12" t="str">
        <f t="array" ref="G417">IF($B417="","",IFERROR(INDEX(Accounts!$C$2:$C$100,MATCH($B417,Accounts!$A$2:$A$100,0)),""))</f>
        <v/>
      </c>
      <c r="H417" s="12" t="str">
        <f t="shared" si="0"/>
        <v/>
      </c>
      <c r="I417" s="15" t="str">
        <f t="shared" si="1"/>
        <v/>
      </c>
      <c r="J417" s="16" t="str">
        <f t="shared" si="2"/>
        <v/>
      </c>
    </row>
    <row r="418" customHeight="1" spans="1:10">
      <c r="A418" s="8"/>
      <c r="B418" s="9"/>
      <c r="C418" s="9"/>
      <c r="D418" s="10"/>
      <c r="E418" s="10"/>
      <c r="F418" s="12" t="str">
        <f t="array" ref="F418">IF($B418="","",IFERROR(INDEX(Accounts!$B$2:$B$100,MATCH($B418,Accounts!$A$2:$A$100,0)),""))</f>
        <v/>
      </c>
      <c r="G418" s="12" t="str">
        <f t="array" ref="G418">IF($B418="","",IFERROR(INDEX(Accounts!$C$2:$C$100,MATCH($B418,Accounts!$A$2:$A$100,0)),""))</f>
        <v/>
      </c>
      <c r="H418" s="12" t="str">
        <f t="shared" si="0"/>
        <v/>
      </c>
      <c r="I418" s="15" t="str">
        <f t="shared" si="1"/>
        <v/>
      </c>
      <c r="J418" s="16" t="str">
        <f t="shared" si="2"/>
        <v/>
      </c>
    </row>
    <row r="419" customHeight="1" spans="1:10">
      <c r="A419" s="8"/>
      <c r="B419" s="9"/>
      <c r="C419" s="9"/>
      <c r="D419" s="10"/>
      <c r="E419" s="10"/>
      <c r="F419" s="12" t="str">
        <f t="array" ref="F419">IF($B419="","",IFERROR(INDEX(Accounts!$B$2:$B$100,MATCH($B419,Accounts!$A$2:$A$100,0)),""))</f>
        <v/>
      </c>
      <c r="G419" s="12" t="str">
        <f t="array" ref="G419">IF($B419="","",IFERROR(INDEX(Accounts!$C$2:$C$100,MATCH($B419,Accounts!$A$2:$A$100,0)),""))</f>
        <v/>
      </c>
      <c r="H419" s="12" t="str">
        <f t="shared" si="0"/>
        <v/>
      </c>
      <c r="I419" s="15" t="str">
        <f t="shared" si="1"/>
        <v/>
      </c>
      <c r="J419" s="16" t="str">
        <f t="shared" si="2"/>
        <v/>
      </c>
    </row>
    <row r="420" customHeight="1" spans="1:10">
      <c r="A420" s="8"/>
      <c r="B420" s="9"/>
      <c r="C420" s="9"/>
      <c r="D420" s="10"/>
      <c r="E420" s="10"/>
      <c r="F420" s="12" t="str">
        <f t="array" ref="F420">IF($B420="","",IFERROR(INDEX(Accounts!$B$2:$B$100,MATCH($B420,Accounts!$A$2:$A$100,0)),""))</f>
        <v/>
      </c>
      <c r="G420" s="12" t="str">
        <f t="array" ref="G420">IF($B420="","",IFERROR(INDEX(Accounts!$C$2:$C$100,MATCH($B420,Accounts!$A$2:$A$100,0)),""))</f>
        <v/>
      </c>
      <c r="H420" s="12" t="str">
        <f t="shared" si="0"/>
        <v/>
      </c>
      <c r="I420" s="15" t="str">
        <f t="shared" si="1"/>
        <v/>
      </c>
      <c r="J420" s="16" t="str">
        <f t="shared" si="2"/>
        <v/>
      </c>
    </row>
    <row r="421" customHeight="1" spans="1:10">
      <c r="A421" s="8"/>
      <c r="B421" s="9"/>
      <c r="C421" s="9"/>
      <c r="D421" s="10"/>
      <c r="E421" s="10"/>
      <c r="F421" s="12" t="str">
        <f t="array" ref="F421">IF($B421="","",IFERROR(INDEX(Accounts!$B$2:$B$100,MATCH($B421,Accounts!$A$2:$A$100,0)),""))</f>
        <v/>
      </c>
      <c r="G421" s="12" t="str">
        <f t="array" ref="G421">IF($B421="","",IFERROR(INDEX(Accounts!$C$2:$C$100,MATCH($B421,Accounts!$A$2:$A$100,0)),""))</f>
        <v/>
      </c>
      <c r="H421" s="12" t="str">
        <f t="shared" si="0"/>
        <v/>
      </c>
      <c r="I421" s="15" t="str">
        <f t="shared" si="1"/>
        <v/>
      </c>
      <c r="J421" s="16" t="str">
        <f t="shared" si="2"/>
        <v/>
      </c>
    </row>
    <row r="422" customHeight="1" spans="1:10">
      <c r="A422" s="8"/>
      <c r="B422" s="9"/>
      <c r="C422" s="9"/>
      <c r="D422" s="10"/>
      <c r="E422" s="10"/>
      <c r="F422" s="12" t="str">
        <f t="array" ref="F422">IF($B422="","",IFERROR(INDEX(Accounts!$B$2:$B$100,MATCH($B422,Accounts!$A$2:$A$100,0)),""))</f>
        <v/>
      </c>
      <c r="G422" s="12" t="str">
        <f t="array" ref="G422">IF($B422="","",IFERROR(INDEX(Accounts!$C$2:$C$100,MATCH($B422,Accounts!$A$2:$A$100,0)),""))</f>
        <v/>
      </c>
      <c r="H422" s="12" t="str">
        <f t="shared" si="0"/>
        <v/>
      </c>
      <c r="I422" s="15" t="str">
        <f t="shared" si="1"/>
        <v/>
      </c>
      <c r="J422" s="16" t="str">
        <f t="shared" si="2"/>
        <v/>
      </c>
    </row>
    <row r="423" customHeight="1" spans="1:10">
      <c r="A423" s="8"/>
      <c r="B423" s="9"/>
      <c r="C423" s="9"/>
      <c r="D423" s="10"/>
      <c r="E423" s="10"/>
      <c r="F423" s="12" t="str">
        <f t="array" ref="F423">IF($B423="","",IFERROR(INDEX(Accounts!$B$2:$B$100,MATCH($B423,Accounts!$A$2:$A$100,0)),""))</f>
        <v/>
      </c>
      <c r="G423" s="12" t="str">
        <f t="array" ref="G423">IF($B423="","",IFERROR(INDEX(Accounts!$C$2:$C$100,MATCH($B423,Accounts!$A$2:$A$100,0)),""))</f>
        <v/>
      </c>
      <c r="H423" s="12" t="str">
        <f t="shared" si="0"/>
        <v/>
      </c>
      <c r="I423" s="15" t="str">
        <f t="shared" si="1"/>
        <v/>
      </c>
      <c r="J423" s="16" t="str">
        <f t="shared" si="2"/>
        <v/>
      </c>
    </row>
    <row r="424" customHeight="1" spans="1:10">
      <c r="A424" s="8"/>
      <c r="B424" s="9"/>
      <c r="C424" s="9"/>
      <c r="D424" s="10"/>
      <c r="E424" s="10"/>
      <c r="F424" s="12" t="str">
        <f t="array" ref="F424">IF($B424="","",IFERROR(INDEX(Accounts!$B$2:$B$100,MATCH($B424,Accounts!$A$2:$A$100,0)),""))</f>
        <v/>
      </c>
      <c r="G424" s="12" t="str">
        <f t="array" ref="G424">IF($B424="","",IFERROR(INDEX(Accounts!$C$2:$C$100,MATCH($B424,Accounts!$A$2:$A$100,0)),""))</f>
        <v/>
      </c>
      <c r="H424" s="12" t="str">
        <f t="shared" si="0"/>
        <v/>
      </c>
      <c r="I424" s="15" t="str">
        <f t="shared" si="1"/>
        <v/>
      </c>
      <c r="J424" s="16" t="str">
        <f t="shared" si="2"/>
        <v/>
      </c>
    </row>
    <row r="425" customHeight="1" spans="1:10">
      <c r="A425" s="8"/>
      <c r="B425" s="9"/>
      <c r="C425" s="9"/>
      <c r="D425" s="10"/>
      <c r="E425" s="10"/>
      <c r="F425" s="12" t="str">
        <f t="array" ref="F425">IF($B425="","",IFERROR(INDEX(Accounts!$B$2:$B$100,MATCH($B425,Accounts!$A$2:$A$100,0)),""))</f>
        <v/>
      </c>
      <c r="G425" s="12" t="str">
        <f t="array" ref="G425">IF($B425="","",IFERROR(INDEX(Accounts!$C$2:$C$100,MATCH($B425,Accounts!$A$2:$A$100,0)),""))</f>
        <v/>
      </c>
      <c r="H425" s="12" t="str">
        <f t="shared" si="0"/>
        <v/>
      </c>
      <c r="I425" s="15" t="str">
        <f t="shared" si="1"/>
        <v/>
      </c>
      <c r="J425" s="16" t="str">
        <f t="shared" si="2"/>
        <v/>
      </c>
    </row>
    <row r="426" customHeight="1" spans="1:10">
      <c r="A426" s="8"/>
      <c r="B426" s="9"/>
      <c r="C426" s="9"/>
      <c r="D426" s="10"/>
      <c r="E426" s="10"/>
      <c r="F426" s="12" t="str">
        <f t="array" ref="F426">IF($B426="","",IFERROR(INDEX(Accounts!$B$2:$B$100,MATCH($B426,Accounts!$A$2:$A$100,0)),""))</f>
        <v/>
      </c>
      <c r="G426" s="12" t="str">
        <f t="array" ref="G426">IF($B426="","",IFERROR(INDEX(Accounts!$C$2:$C$100,MATCH($B426,Accounts!$A$2:$A$100,0)),""))</f>
        <v/>
      </c>
      <c r="H426" s="12" t="str">
        <f t="shared" si="0"/>
        <v/>
      </c>
      <c r="I426" s="15" t="str">
        <f t="shared" si="1"/>
        <v/>
      </c>
      <c r="J426" s="16" t="str">
        <f t="shared" si="2"/>
        <v/>
      </c>
    </row>
    <row r="427" customHeight="1" spans="1:10">
      <c r="A427" s="8"/>
      <c r="B427" s="9"/>
      <c r="C427" s="9"/>
      <c r="D427" s="10"/>
      <c r="E427" s="10"/>
      <c r="F427" s="12" t="str">
        <f t="array" ref="F427">IF($B427="","",IFERROR(INDEX(Accounts!$B$2:$B$100,MATCH($B427,Accounts!$A$2:$A$100,0)),""))</f>
        <v/>
      </c>
      <c r="G427" s="12" t="str">
        <f t="array" ref="G427">IF($B427="","",IFERROR(INDEX(Accounts!$C$2:$C$100,MATCH($B427,Accounts!$A$2:$A$100,0)),""))</f>
        <v/>
      </c>
      <c r="H427" s="12" t="str">
        <f t="shared" si="0"/>
        <v/>
      </c>
      <c r="I427" s="15" t="str">
        <f t="shared" si="1"/>
        <v/>
      </c>
      <c r="J427" s="16" t="str">
        <f t="shared" si="2"/>
        <v/>
      </c>
    </row>
    <row r="428" customHeight="1" spans="1:10">
      <c r="A428" s="8"/>
      <c r="B428" s="9"/>
      <c r="C428" s="9"/>
      <c r="D428" s="10"/>
      <c r="E428" s="10"/>
      <c r="F428" s="12" t="str">
        <f t="array" ref="F428">IF($B428="","",IFERROR(INDEX(Accounts!$B$2:$B$100,MATCH($B428,Accounts!$A$2:$A$100,0)),""))</f>
        <v/>
      </c>
      <c r="G428" s="12" t="str">
        <f t="array" ref="G428">IF($B428="","",IFERROR(INDEX(Accounts!$C$2:$C$100,MATCH($B428,Accounts!$A$2:$A$100,0)),""))</f>
        <v/>
      </c>
      <c r="H428" s="12" t="str">
        <f t="shared" si="0"/>
        <v/>
      </c>
      <c r="I428" s="15" t="str">
        <f t="shared" si="1"/>
        <v/>
      </c>
      <c r="J428" s="16" t="str">
        <f t="shared" si="2"/>
        <v/>
      </c>
    </row>
    <row r="429" customHeight="1" spans="1:10">
      <c r="A429" s="8"/>
      <c r="B429" s="9"/>
      <c r="C429" s="9"/>
      <c r="D429" s="10"/>
      <c r="E429" s="10"/>
      <c r="F429" s="12" t="str">
        <f t="array" ref="F429">IF($B429="","",IFERROR(INDEX(Accounts!$B$2:$B$100,MATCH($B429,Accounts!$A$2:$A$100,0)),""))</f>
        <v/>
      </c>
      <c r="G429" s="12" t="str">
        <f t="array" ref="G429">IF($B429="","",IFERROR(INDEX(Accounts!$C$2:$C$100,MATCH($B429,Accounts!$A$2:$A$100,0)),""))</f>
        <v/>
      </c>
      <c r="H429" s="12" t="str">
        <f t="shared" si="0"/>
        <v/>
      </c>
      <c r="I429" s="15" t="str">
        <f t="shared" si="1"/>
        <v/>
      </c>
      <c r="J429" s="16" t="str">
        <f t="shared" si="2"/>
        <v/>
      </c>
    </row>
    <row r="430" customHeight="1" spans="1:10">
      <c r="A430" s="8"/>
      <c r="B430" s="9"/>
      <c r="C430" s="9"/>
      <c r="D430" s="10"/>
      <c r="E430" s="10"/>
      <c r="F430" s="12" t="str">
        <f t="array" ref="F430">IF($B430="","",IFERROR(INDEX(Accounts!$B$2:$B$100,MATCH($B430,Accounts!$A$2:$A$100,0)),""))</f>
        <v/>
      </c>
      <c r="G430" s="12" t="str">
        <f t="array" ref="G430">IF($B430="","",IFERROR(INDEX(Accounts!$C$2:$C$100,MATCH($B430,Accounts!$A$2:$A$100,0)),""))</f>
        <v/>
      </c>
      <c r="H430" s="12" t="str">
        <f t="shared" si="0"/>
        <v/>
      </c>
      <c r="I430" s="15" t="str">
        <f t="shared" si="1"/>
        <v/>
      </c>
      <c r="J430" s="16" t="str">
        <f t="shared" si="2"/>
        <v/>
      </c>
    </row>
    <row r="431" customHeight="1" spans="1:10">
      <c r="A431" s="8"/>
      <c r="B431" s="9"/>
      <c r="C431" s="9"/>
      <c r="D431" s="10"/>
      <c r="E431" s="10"/>
      <c r="F431" s="12" t="str">
        <f t="array" ref="F431">IF($B431="","",IFERROR(INDEX(Accounts!$B$2:$B$100,MATCH($B431,Accounts!$A$2:$A$100,0)),""))</f>
        <v/>
      </c>
      <c r="G431" s="12" t="str">
        <f t="array" ref="G431">IF($B431="","",IFERROR(INDEX(Accounts!$C$2:$C$100,MATCH($B431,Accounts!$A$2:$A$100,0)),""))</f>
        <v/>
      </c>
      <c r="H431" s="12" t="str">
        <f t="shared" si="0"/>
        <v/>
      </c>
      <c r="I431" s="15" t="str">
        <f t="shared" si="1"/>
        <v/>
      </c>
      <c r="J431" s="16" t="str">
        <f t="shared" si="2"/>
        <v/>
      </c>
    </row>
    <row r="432" customHeight="1" spans="1:10">
      <c r="A432" s="8"/>
      <c r="B432" s="9"/>
      <c r="C432" s="9"/>
      <c r="D432" s="10"/>
      <c r="E432" s="10"/>
      <c r="F432" s="12" t="str">
        <f t="array" ref="F432">IF($B432="","",IFERROR(INDEX(Accounts!$B$2:$B$100,MATCH($B432,Accounts!$A$2:$A$100,0)),""))</f>
        <v/>
      </c>
      <c r="G432" s="12" t="str">
        <f t="array" ref="G432">IF($B432="","",IFERROR(INDEX(Accounts!$C$2:$C$100,MATCH($B432,Accounts!$A$2:$A$100,0)),""))</f>
        <v/>
      </c>
      <c r="H432" s="12" t="str">
        <f t="shared" si="0"/>
        <v/>
      </c>
      <c r="I432" s="15" t="str">
        <f t="shared" si="1"/>
        <v/>
      </c>
      <c r="J432" s="16" t="str">
        <f t="shared" si="2"/>
        <v/>
      </c>
    </row>
    <row r="433" customHeight="1" spans="1:10">
      <c r="A433" s="8"/>
      <c r="B433" s="9"/>
      <c r="C433" s="9"/>
      <c r="D433" s="10"/>
      <c r="E433" s="10"/>
      <c r="F433" s="12" t="str">
        <f t="array" ref="F433">IF($B433="","",IFERROR(INDEX(Accounts!$B$2:$B$100,MATCH($B433,Accounts!$A$2:$A$100,0)),""))</f>
        <v/>
      </c>
      <c r="G433" s="12" t="str">
        <f t="array" ref="G433">IF($B433="","",IFERROR(INDEX(Accounts!$C$2:$C$100,MATCH($B433,Accounts!$A$2:$A$100,0)),""))</f>
        <v/>
      </c>
      <c r="H433" s="12" t="str">
        <f t="shared" si="0"/>
        <v/>
      </c>
      <c r="I433" s="15" t="str">
        <f t="shared" si="1"/>
        <v/>
      </c>
      <c r="J433" s="16" t="str">
        <f t="shared" si="2"/>
        <v/>
      </c>
    </row>
    <row r="434" customHeight="1" spans="1:10">
      <c r="A434" s="8"/>
      <c r="B434" s="9"/>
      <c r="C434" s="9"/>
      <c r="D434" s="10"/>
      <c r="E434" s="10"/>
      <c r="F434" s="12" t="str">
        <f t="array" ref="F434">IF($B434="","",IFERROR(INDEX(Accounts!$B$2:$B$100,MATCH($B434,Accounts!$A$2:$A$100,0)),""))</f>
        <v/>
      </c>
      <c r="G434" s="12" t="str">
        <f t="array" ref="G434">IF($B434="","",IFERROR(INDEX(Accounts!$C$2:$C$100,MATCH($B434,Accounts!$A$2:$A$100,0)),""))</f>
        <v/>
      </c>
      <c r="H434" s="12" t="str">
        <f t="shared" si="0"/>
        <v/>
      </c>
      <c r="I434" s="15" t="str">
        <f t="shared" si="1"/>
        <v/>
      </c>
      <c r="J434" s="16" t="str">
        <f t="shared" si="2"/>
        <v/>
      </c>
    </row>
    <row r="435" customHeight="1" spans="1:10">
      <c r="A435" s="8"/>
      <c r="B435" s="9"/>
      <c r="C435" s="9"/>
      <c r="D435" s="10"/>
      <c r="E435" s="10"/>
      <c r="F435" s="12" t="str">
        <f t="array" ref="F435">IF($B435="","",IFERROR(INDEX(Accounts!$B$2:$B$100,MATCH($B435,Accounts!$A$2:$A$100,0)),""))</f>
        <v/>
      </c>
      <c r="G435" s="12" t="str">
        <f t="array" ref="G435">IF($B435="","",IFERROR(INDEX(Accounts!$C$2:$C$100,MATCH($B435,Accounts!$A$2:$A$100,0)),""))</f>
        <v/>
      </c>
      <c r="H435" s="12" t="str">
        <f t="shared" si="0"/>
        <v/>
      </c>
      <c r="I435" s="15" t="str">
        <f t="shared" si="1"/>
        <v/>
      </c>
      <c r="J435" s="16" t="str">
        <f t="shared" si="2"/>
        <v/>
      </c>
    </row>
    <row r="436" customHeight="1" spans="1:10">
      <c r="A436" s="8"/>
      <c r="B436" s="9"/>
      <c r="C436" s="9"/>
      <c r="D436" s="10"/>
      <c r="E436" s="10"/>
      <c r="F436" s="12" t="str">
        <f t="array" ref="F436">IF($B436="","",IFERROR(INDEX(Accounts!$B$2:$B$100,MATCH($B436,Accounts!$A$2:$A$100,0)),""))</f>
        <v/>
      </c>
      <c r="G436" s="12" t="str">
        <f t="array" ref="G436">IF($B436="","",IFERROR(INDEX(Accounts!$C$2:$C$100,MATCH($B436,Accounts!$A$2:$A$100,0)),""))</f>
        <v/>
      </c>
      <c r="H436" s="12" t="str">
        <f t="shared" si="0"/>
        <v/>
      </c>
      <c r="I436" s="15" t="str">
        <f t="shared" si="1"/>
        <v/>
      </c>
      <c r="J436" s="16" t="str">
        <f t="shared" si="2"/>
        <v/>
      </c>
    </row>
    <row r="437" customHeight="1" spans="1:10">
      <c r="A437" s="8"/>
      <c r="B437" s="9"/>
      <c r="C437" s="9"/>
      <c r="D437" s="10"/>
      <c r="E437" s="10"/>
      <c r="F437" s="12" t="str">
        <f t="array" ref="F437">IF($B437="","",IFERROR(INDEX(Accounts!$B$2:$B$100,MATCH($B437,Accounts!$A$2:$A$100,0)),""))</f>
        <v/>
      </c>
      <c r="G437" s="12" t="str">
        <f t="array" ref="G437">IF($B437="","",IFERROR(INDEX(Accounts!$C$2:$C$100,MATCH($B437,Accounts!$A$2:$A$100,0)),""))</f>
        <v/>
      </c>
      <c r="H437" s="12" t="str">
        <f t="shared" si="0"/>
        <v/>
      </c>
      <c r="I437" s="15" t="str">
        <f t="shared" si="1"/>
        <v/>
      </c>
      <c r="J437" s="16" t="str">
        <f t="shared" si="2"/>
        <v/>
      </c>
    </row>
    <row r="438" customHeight="1" spans="1:10">
      <c r="A438" s="8"/>
      <c r="B438" s="9"/>
      <c r="C438" s="9"/>
      <c r="D438" s="10"/>
      <c r="E438" s="10"/>
      <c r="F438" s="12" t="str">
        <f t="array" ref="F438">IF($B438="","",IFERROR(INDEX(Accounts!$B$2:$B$100,MATCH($B438,Accounts!$A$2:$A$100,0)),""))</f>
        <v/>
      </c>
      <c r="G438" s="12" t="str">
        <f t="array" ref="G438">IF($B438="","",IFERROR(INDEX(Accounts!$C$2:$C$100,MATCH($B438,Accounts!$A$2:$A$100,0)),""))</f>
        <v/>
      </c>
      <c r="H438" s="12" t="str">
        <f t="shared" si="0"/>
        <v/>
      </c>
      <c r="I438" s="15" t="str">
        <f t="shared" si="1"/>
        <v/>
      </c>
      <c r="J438" s="16" t="str">
        <f t="shared" si="2"/>
        <v/>
      </c>
    </row>
    <row r="439" customHeight="1" spans="1:10">
      <c r="A439" s="8"/>
      <c r="B439" s="9"/>
      <c r="C439" s="9"/>
      <c r="D439" s="10"/>
      <c r="E439" s="10"/>
      <c r="F439" s="12" t="str">
        <f t="array" ref="F439">IF($B439="","",IFERROR(INDEX(Accounts!$B$2:$B$100,MATCH($B439,Accounts!$A$2:$A$100,0)),""))</f>
        <v/>
      </c>
      <c r="G439" s="12" t="str">
        <f t="array" ref="G439">IF($B439="","",IFERROR(INDEX(Accounts!$C$2:$C$100,MATCH($B439,Accounts!$A$2:$A$100,0)),""))</f>
        <v/>
      </c>
      <c r="H439" s="12" t="str">
        <f t="shared" si="0"/>
        <v/>
      </c>
      <c r="I439" s="15" t="str">
        <f t="shared" si="1"/>
        <v/>
      </c>
      <c r="J439" s="16" t="str">
        <f t="shared" si="2"/>
        <v/>
      </c>
    </row>
    <row r="440" customHeight="1" spans="1:10">
      <c r="A440" s="8"/>
      <c r="B440" s="9"/>
      <c r="C440" s="9"/>
      <c r="D440" s="10"/>
      <c r="E440" s="10"/>
      <c r="F440" s="12" t="str">
        <f t="array" ref="F440">IF($B440="","",IFERROR(INDEX(Accounts!$B$2:$B$100,MATCH($B440,Accounts!$A$2:$A$100,0)),""))</f>
        <v/>
      </c>
      <c r="G440" s="12" t="str">
        <f t="array" ref="G440">IF($B440="","",IFERROR(INDEX(Accounts!$C$2:$C$100,MATCH($B440,Accounts!$A$2:$A$100,0)),""))</f>
        <v/>
      </c>
      <c r="H440" s="12" t="str">
        <f t="shared" si="0"/>
        <v/>
      </c>
      <c r="I440" s="15" t="str">
        <f t="shared" si="1"/>
        <v/>
      </c>
      <c r="J440" s="16" t="str">
        <f t="shared" si="2"/>
        <v/>
      </c>
    </row>
    <row r="441" customHeight="1" spans="1:10">
      <c r="A441" s="8"/>
      <c r="B441" s="9"/>
      <c r="C441" s="9"/>
      <c r="D441" s="10"/>
      <c r="E441" s="10"/>
      <c r="F441" s="12" t="str">
        <f t="array" ref="F441">IF($B441="","",IFERROR(INDEX(Accounts!$B$2:$B$100,MATCH($B441,Accounts!$A$2:$A$100,0)),""))</f>
        <v/>
      </c>
      <c r="G441" s="12" t="str">
        <f t="array" ref="G441">IF($B441="","",IFERROR(INDEX(Accounts!$C$2:$C$100,MATCH($B441,Accounts!$A$2:$A$100,0)),""))</f>
        <v/>
      </c>
      <c r="H441" s="12" t="str">
        <f t="shared" si="0"/>
        <v/>
      </c>
      <c r="I441" s="15" t="str">
        <f t="shared" si="1"/>
        <v/>
      </c>
      <c r="J441" s="16" t="str">
        <f t="shared" si="2"/>
        <v/>
      </c>
    </row>
    <row r="442" customHeight="1" spans="1:10">
      <c r="A442" s="8"/>
      <c r="B442" s="9"/>
      <c r="C442" s="9"/>
      <c r="D442" s="10"/>
      <c r="E442" s="10"/>
      <c r="F442" s="12" t="str">
        <f t="array" ref="F442">IF($B442="","",IFERROR(INDEX(Accounts!$B$2:$B$100,MATCH($B442,Accounts!$A$2:$A$100,0)),""))</f>
        <v/>
      </c>
      <c r="G442" s="12" t="str">
        <f t="array" ref="G442">IF($B442="","",IFERROR(INDEX(Accounts!$C$2:$C$100,MATCH($B442,Accounts!$A$2:$A$100,0)),""))</f>
        <v/>
      </c>
      <c r="H442" s="12" t="str">
        <f t="shared" si="0"/>
        <v/>
      </c>
      <c r="I442" s="15" t="str">
        <f t="shared" si="1"/>
        <v/>
      </c>
      <c r="J442" s="16" t="str">
        <f t="shared" si="2"/>
        <v/>
      </c>
    </row>
    <row r="443" customHeight="1" spans="1:10">
      <c r="A443" s="8"/>
      <c r="B443" s="9"/>
      <c r="C443" s="9"/>
      <c r="D443" s="10"/>
      <c r="E443" s="10"/>
      <c r="F443" s="12" t="str">
        <f t="array" ref="F443">IF($B443="","",IFERROR(INDEX(Accounts!$B$2:$B$100,MATCH($B443,Accounts!$A$2:$A$100,0)),""))</f>
        <v/>
      </c>
      <c r="G443" s="12" t="str">
        <f t="array" ref="G443">IF($B443="","",IFERROR(INDEX(Accounts!$C$2:$C$100,MATCH($B443,Accounts!$A$2:$A$100,0)),""))</f>
        <v/>
      </c>
      <c r="H443" s="12" t="str">
        <f t="shared" si="0"/>
        <v/>
      </c>
      <c r="I443" s="15" t="str">
        <f t="shared" si="1"/>
        <v/>
      </c>
      <c r="J443" s="16" t="str">
        <f t="shared" si="2"/>
        <v/>
      </c>
    </row>
    <row r="444" customHeight="1" spans="1:10">
      <c r="A444" s="8"/>
      <c r="B444" s="9"/>
      <c r="C444" s="9"/>
      <c r="D444" s="10"/>
      <c r="E444" s="10"/>
      <c r="F444" s="12" t="str">
        <f t="array" ref="F444">IF($B444="","",IFERROR(INDEX(Accounts!$B$2:$B$100,MATCH($B444,Accounts!$A$2:$A$100,0)),""))</f>
        <v/>
      </c>
      <c r="G444" s="12" t="str">
        <f t="array" ref="G444">IF($B444="","",IFERROR(INDEX(Accounts!$C$2:$C$100,MATCH($B444,Accounts!$A$2:$A$100,0)),""))</f>
        <v/>
      </c>
      <c r="H444" s="12" t="str">
        <f t="shared" si="0"/>
        <v/>
      </c>
      <c r="I444" s="15" t="str">
        <f t="shared" si="1"/>
        <v/>
      </c>
      <c r="J444" s="16" t="str">
        <f t="shared" si="2"/>
        <v/>
      </c>
    </row>
    <row r="445" customHeight="1" spans="1:10">
      <c r="A445" s="8"/>
      <c r="B445" s="9"/>
      <c r="C445" s="9"/>
      <c r="D445" s="10"/>
      <c r="E445" s="10"/>
      <c r="F445" s="12" t="str">
        <f t="array" ref="F445">IF($B445="","",IFERROR(INDEX(Accounts!$B$2:$B$100,MATCH($B445,Accounts!$A$2:$A$100,0)),""))</f>
        <v/>
      </c>
      <c r="G445" s="12" t="str">
        <f t="array" ref="G445">IF($B445="","",IFERROR(INDEX(Accounts!$C$2:$C$100,MATCH($B445,Accounts!$A$2:$A$100,0)),""))</f>
        <v/>
      </c>
      <c r="H445" s="12" t="str">
        <f t="shared" si="0"/>
        <v/>
      </c>
      <c r="I445" s="15" t="str">
        <f t="shared" si="1"/>
        <v/>
      </c>
      <c r="J445" s="16" t="str">
        <f t="shared" si="2"/>
        <v/>
      </c>
    </row>
    <row r="446" customHeight="1" spans="1:10">
      <c r="A446" s="8"/>
      <c r="B446" s="9"/>
      <c r="C446" s="9"/>
      <c r="D446" s="10"/>
      <c r="E446" s="10"/>
      <c r="F446" s="12" t="str">
        <f t="array" ref="F446">IF($B446="","",IFERROR(INDEX(Accounts!$B$2:$B$100,MATCH($B446,Accounts!$A$2:$A$100,0)),""))</f>
        <v/>
      </c>
      <c r="G446" s="12" t="str">
        <f t="array" ref="G446">IF($B446="","",IFERROR(INDEX(Accounts!$C$2:$C$100,MATCH($B446,Accounts!$A$2:$A$100,0)),""))</f>
        <v/>
      </c>
      <c r="H446" s="12" t="str">
        <f t="shared" si="0"/>
        <v/>
      </c>
      <c r="I446" s="15" t="str">
        <f t="shared" si="1"/>
        <v/>
      </c>
      <c r="J446" s="16" t="str">
        <f t="shared" si="2"/>
        <v/>
      </c>
    </row>
    <row r="447" customHeight="1" spans="1:10">
      <c r="A447" s="8"/>
      <c r="B447" s="9"/>
      <c r="C447" s="9"/>
      <c r="D447" s="10"/>
      <c r="E447" s="10"/>
      <c r="F447" s="12" t="str">
        <f t="array" ref="F447">IF($B447="","",IFERROR(INDEX(Accounts!$B$2:$B$100,MATCH($B447,Accounts!$A$2:$A$100,0)),""))</f>
        <v/>
      </c>
      <c r="G447" s="12" t="str">
        <f t="array" ref="G447">IF($B447="","",IFERROR(INDEX(Accounts!$C$2:$C$100,MATCH($B447,Accounts!$A$2:$A$100,0)),""))</f>
        <v/>
      </c>
      <c r="H447" s="12" t="str">
        <f t="shared" si="0"/>
        <v/>
      </c>
      <c r="I447" s="15" t="str">
        <f t="shared" si="1"/>
        <v/>
      </c>
      <c r="J447" s="16" t="str">
        <f t="shared" si="2"/>
        <v/>
      </c>
    </row>
    <row r="448" customHeight="1" spans="1:10">
      <c r="A448" s="8"/>
      <c r="B448" s="9"/>
      <c r="C448" s="9"/>
      <c r="D448" s="10"/>
      <c r="E448" s="10"/>
      <c r="F448" s="12" t="str">
        <f t="array" ref="F448">IF($B448="","",IFERROR(INDEX(Accounts!$B$2:$B$100,MATCH($B448,Accounts!$A$2:$A$100,0)),""))</f>
        <v/>
      </c>
      <c r="G448" s="12" t="str">
        <f t="array" ref="G448">IF($B448="","",IFERROR(INDEX(Accounts!$C$2:$C$100,MATCH($B448,Accounts!$A$2:$A$100,0)),""))</f>
        <v/>
      </c>
      <c r="H448" s="12" t="str">
        <f t="shared" si="0"/>
        <v/>
      </c>
      <c r="I448" s="15" t="str">
        <f t="shared" si="1"/>
        <v/>
      </c>
      <c r="J448" s="16" t="str">
        <f t="shared" si="2"/>
        <v/>
      </c>
    </row>
    <row r="449" customHeight="1" spans="1:10">
      <c r="A449" s="8"/>
      <c r="B449" s="9"/>
      <c r="C449" s="9"/>
      <c r="D449" s="10"/>
      <c r="E449" s="10"/>
      <c r="F449" s="12" t="str">
        <f t="array" ref="F449">IF($B449="","",IFERROR(INDEX(Accounts!$B$2:$B$100,MATCH($B449,Accounts!$A$2:$A$100,0)),""))</f>
        <v/>
      </c>
      <c r="G449" s="12" t="str">
        <f t="array" ref="G449">IF($B449="","",IFERROR(INDEX(Accounts!$C$2:$C$100,MATCH($B449,Accounts!$A$2:$A$100,0)),""))</f>
        <v/>
      </c>
      <c r="H449" s="12" t="str">
        <f t="shared" si="0"/>
        <v/>
      </c>
      <c r="I449" s="15" t="str">
        <f t="shared" si="1"/>
        <v/>
      </c>
      <c r="J449" s="16" t="str">
        <f t="shared" si="2"/>
        <v/>
      </c>
    </row>
    <row r="450" customHeight="1" spans="1:10">
      <c r="A450" s="8"/>
      <c r="B450" s="9"/>
      <c r="C450" s="9"/>
      <c r="D450" s="10"/>
      <c r="E450" s="10"/>
      <c r="F450" s="12" t="str">
        <f t="array" ref="F450">IF($B450="","",IFERROR(INDEX(Accounts!$B$2:$B$100,MATCH($B450,Accounts!$A$2:$A$100,0)),""))</f>
        <v/>
      </c>
      <c r="G450" s="12" t="str">
        <f t="array" ref="G450">IF($B450="","",IFERROR(INDEX(Accounts!$C$2:$C$100,MATCH($B450,Accounts!$A$2:$A$100,0)),""))</f>
        <v/>
      </c>
      <c r="H450" s="12" t="str">
        <f t="shared" si="0"/>
        <v/>
      </c>
      <c r="I450" s="15" t="str">
        <f t="shared" si="1"/>
        <v/>
      </c>
      <c r="J450" s="16" t="str">
        <f t="shared" si="2"/>
        <v/>
      </c>
    </row>
    <row r="451" customHeight="1" spans="1:10">
      <c r="A451" s="8"/>
      <c r="B451" s="9"/>
      <c r="C451" s="9"/>
      <c r="D451" s="10"/>
      <c r="E451" s="10"/>
      <c r="F451" s="12" t="str">
        <f t="array" ref="F451">IF($B451="","",IFERROR(INDEX(Accounts!$B$2:$B$100,MATCH($B451,Accounts!$A$2:$A$100,0)),""))</f>
        <v/>
      </c>
      <c r="G451" s="12" t="str">
        <f t="array" ref="G451">IF($B451="","",IFERROR(INDEX(Accounts!$C$2:$C$100,MATCH($B451,Accounts!$A$2:$A$100,0)),""))</f>
        <v/>
      </c>
      <c r="H451" s="12" t="str">
        <f t="shared" si="0"/>
        <v/>
      </c>
      <c r="I451" s="15" t="str">
        <f t="shared" si="1"/>
        <v/>
      </c>
      <c r="J451" s="16" t="str">
        <f t="shared" si="2"/>
        <v/>
      </c>
    </row>
    <row r="452" customHeight="1" spans="1:10">
      <c r="A452" s="8"/>
      <c r="B452" s="9"/>
      <c r="C452" s="9"/>
      <c r="D452" s="10"/>
      <c r="E452" s="10"/>
      <c r="F452" s="12" t="str">
        <f t="array" ref="F452">IF($B452="","",IFERROR(INDEX(Accounts!$B$2:$B$100,MATCH($B452,Accounts!$A$2:$A$100,0)),""))</f>
        <v/>
      </c>
      <c r="G452" s="12" t="str">
        <f t="array" ref="G452">IF($B452="","",IFERROR(INDEX(Accounts!$C$2:$C$100,MATCH($B452,Accounts!$A$2:$A$100,0)),""))</f>
        <v/>
      </c>
      <c r="H452" s="12" t="str">
        <f t="shared" si="0"/>
        <v/>
      </c>
      <c r="I452" s="15" t="str">
        <f t="shared" si="1"/>
        <v/>
      </c>
      <c r="J452" s="16" t="str">
        <f t="shared" si="2"/>
        <v/>
      </c>
    </row>
    <row r="453" customHeight="1" spans="1:10">
      <c r="A453" s="8"/>
      <c r="B453" s="9"/>
      <c r="C453" s="9"/>
      <c r="D453" s="10"/>
      <c r="E453" s="10"/>
      <c r="F453" s="12" t="str">
        <f t="array" ref="F453">IF($B453="","",IFERROR(INDEX(Accounts!$B$2:$B$100,MATCH($B453,Accounts!$A$2:$A$100,0)),""))</f>
        <v/>
      </c>
      <c r="G453" s="12" t="str">
        <f t="array" ref="G453">IF($B453="","",IFERROR(INDEX(Accounts!$C$2:$C$100,MATCH($B453,Accounts!$A$2:$A$100,0)),""))</f>
        <v/>
      </c>
      <c r="H453" s="12" t="str">
        <f t="shared" si="0"/>
        <v/>
      </c>
      <c r="I453" s="15" t="str">
        <f t="shared" si="1"/>
        <v/>
      </c>
      <c r="J453" s="16" t="str">
        <f t="shared" si="2"/>
        <v/>
      </c>
    </row>
    <row r="454" customHeight="1" spans="1:10">
      <c r="A454" s="8"/>
      <c r="B454" s="9"/>
      <c r="C454" s="9"/>
      <c r="D454" s="10"/>
      <c r="E454" s="10"/>
      <c r="F454" s="12" t="str">
        <f t="array" ref="F454">IF($B454="","",IFERROR(INDEX(Accounts!$B$2:$B$100,MATCH($B454,Accounts!$A$2:$A$100,0)),""))</f>
        <v/>
      </c>
      <c r="G454" s="12" t="str">
        <f t="array" ref="G454">IF($B454="","",IFERROR(INDEX(Accounts!$C$2:$C$100,MATCH($B454,Accounts!$A$2:$A$100,0)),""))</f>
        <v/>
      </c>
      <c r="H454" s="12" t="str">
        <f t="shared" si="0"/>
        <v/>
      </c>
      <c r="I454" s="15" t="str">
        <f t="shared" si="1"/>
        <v/>
      </c>
      <c r="J454" s="16" t="str">
        <f t="shared" si="2"/>
        <v/>
      </c>
    </row>
    <row r="455" customHeight="1" spans="1:10">
      <c r="A455" s="8"/>
      <c r="B455" s="9"/>
      <c r="C455" s="9"/>
      <c r="D455" s="10"/>
      <c r="E455" s="10"/>
      <c r="F455" s="12" t="str">
        <f t="array" ref="F455">IF($B455="","",IFERROR(INDEX(Accounts!$B$2:$B$100,MATCH($B455,Accounts!$A$2:$A$100,0)),""))</f>
        <v/>
      </c>
      <c r="G455" s="12" t="str">
        <f t="array" ref="G455">IF($B455="","",IFERROR(INDEX(Accounts!$C$2:$C$100,MATCH($B455,Accounts!$A$2:$A$100,0)),""))</f>
        <v/>
      </c>
      <c r="H455" s="12" t="str">
        <f t="shared" si="0"/>
        <v/>
      </c>
      <c r="I455" s="15" t="str">
        <f t="shared" si="1"/>
        <v/>
      </c>
      <c r="J455" s="16" t="str">
        <f t="shared" si="2"/>
        <v/>
      </c>
    </row>
    <row r="456" customHeight="1" spans="1:10">
      <c r="A456" s="8"/>
      <c r="B456" s="9"/>
      <c r="C456" s="9"/>
      <c r="D456" s="10"/>
      <c r="E456" s="10"/>
      <c r="F456" s="12" t="str">
        <f t="array" ref="F456">IF($B456="","",IFERROR(INDEX(Accounts!$B$2:$B$100,MATCH($B456,Accounts!$A$2:$A$100,0)),""))</f>
        <v/>
      </c>
      <c r="G456" s="12" t="str">
        <f t="array" ref="G456">IF($B456="","",IFERROR(INDEX(Accounts!$C$2:$C$100,MATCH($B456,Accounts!$A$2:$A$100,0)),""))</f>
        <v/>
      </c>
      <c r="H456" s="12" t="str">
        <f t="shared" si="0"/>
        <v/>
      </c>
      <c r="I456" s="15" t="str">
        <f t="shared" si="1"/>
        <v/>
      </c>
      <c r="J456" s="16" t="str">
        <f t="shared" si="2"/>
        <v/>
      </c>
    </row>
    <row r="457" customHeight="1" spans="1:10">
      <c r="A457" s="8"/>
      <c r="B457" s="9"/>
      <c r="C457" s="9"/>
      <c r="D457" s="10"/>
      <c r="E457" s="10"/>
      <c r="F457" s="12" t="str">
        <f t="array" ref="F457">IF($B457="","",IFERROR(INDEX(Accounts!$B$2:$B$100,MATCH($B457,Accounts!$A$2:$A$100,0)),""))</f>
        <v/>
      </c>
      <c r="G457" s="12" t="str">
        <f t="array" ref="G457">IF($B457="","",IFERROR(INDEX(Accounts!$C$2:$C$100,MATCH($B457,Accounts!$A$2:$A$100,0)),""))</f>
        <v/>
      </c>
      <c r="H457" s="12" t="str">
        <f t="shared" si="0"/>
        <v/>
      </c>
      <c r="I457" s="15" t="str">
        <f t="shared" si="1"/>
        <v/>
      </c>
      <c r="J457" s="16" t="str">
        <f t="shared" si="2"/>
        <v/>
      </c>
    </row>
    <row r="458" customHeight="1" spans="1:10">
      <c r="A458" s="8"/>
      <c r="B458" s="9"/>
      <c r="C458" s="9"/>
      <c r="D458" s="10"/>
      <c r="E458" s="10"/>
      <c r="F458" s="12" t="str">
        <f t="array" ref="F458">IF($B458="","",IFERROR(INDEX(Accounts!$B$2:$B$100,MATCH($B458,Accounts!$A$2:$A$100,0)),""))</f>
        <v/>
      </c>
      <c r="G458" s="12" t="str">
        <f t="array" ref="G458">IF($B458="","",IFERROR(INDEX(Accounts!$C$2:$C$100,MATCH($B458,Accounts!$A$2:$A$100,0)),""))</f>
        <v/>
      </c>
      <c r="H458" s="12" t="str">
        <f t="shared" si="0"/>
        <v/>
      </c>
      <c r="I458" s="15" t="str">
        <f t="shared" si="1"/>
        <v/>
      </c>
      <c r="J458" s="16" t="str">
        <f t="shared" si="2"/>
        <v/>
      </c>
    </row>
    <row r="459" customHeight="1" spans="1:10">
      <c r="A459" s="8"/>
      <c r="B459" s="9"/>
      <c r="C459" s="9"/>
      <c r="D459" s="10"/>
      <c r="E459" s="10"/>
      <c r="F459" s="12" t="str">
        <f t="array" ref="F459">IF($B459="","",IFERROR(INDEX(Accounts!$B$2:$B$100,MATCH($B459,Accounts!$A$2:$A$100,0)),""))</f>
        <v/>
      </c>
      <c r="G459" s="12" t="str">
        <f t="array" ref="G459">IF($B459="","",IFERROR(INDEX(Accounts!$C$2:$C$100,MATCH($B459,Accounts!$A$2:$A$100,0)),""))</f>
        <v/>
      </c>
      <c r="H459" s="12" t="str">
        <f t="shared" si="0"/>
        <v/>
      </c>
      <c r="I459" s="15" t="str">
        <f t="shared" si="1"/>
        <v/>
      </c>
      <c r="J459" s="16" t="str">
        <f t="shared" si="2"/>
        <v/>
      </c>
    </row>
    <row r="460" customHeight="1" spans="1:10">
      <c r="A460" s="8"/>
      <c r="B460" s="9"/>
      <c r="C460" s="9"/>
      <c r="D460" s="10"/>
      <c r="E460" s="10"/>
      <c r="F460" s="12" t="str">
        <f t="array" ref="F460">IF($B460="","",IFERROR(INDEX(Accounts!$B$2:$B$100,MATCH($B460,Accounts!$A$2:$A$100,0)),""))</f>
        <v/>
      </c>
      <c r="G460" s="12" t="str">
        <f t="array" ref="G460">IF($B460="","",IFERROR(INDEX(Accounts!$C$2:$C$100,MATCH($B460,Accounts!$A$2:$A$100,0)),""))</f>
        <v/>
      </c>
      <c r="H460" s="12" t="str">
        <f t="shared" si="0"/>
        <v/>
      </c>
      <c r="I460" s="15" t="str">
        <f t="shared" si="1"/>
        <v/>
      </c>
      <c r="J460" s="16" t="str">
        <f t="shared" si="2"/>
        <v/>
      </c>
    </row>
    <row r="461" customHeight="1" spans="1:10">
      <c r="A461" s="8"/>
      <c r="B461" s="9"/>
      <c r="C461" s="9"/>
      <c r="D461" s="10"/>
      <c r="E461" s="10"/>
      <c r="F461" s="12" t="str">
        <f t="array" ref="F461">IF($B461="","",IFERROR(INDEX(Accounts!$B$2:$B$100,MATCH($B461,Accounts!$A$2:$A$100,0)),""))</f>
        <v/>
      </c>
      <c r="G461" s="12" t="str">
        <f t="array" ref="G461">IF($B461="","",IFERROR(INDEX(Accounts!$C$2:$C$100,MATCH($B461,Accounts!$A$2:$A$100,0)),""))</f>
        <v/>
      </c>
      <c r="H461" s="12" t="str">
        <f t="shared" si="0"/>
        <v/>
      </c>
      <c r="I461" s="15" t="str">
        <f t="shared" si="1"/>
        <v/>
      </c>
      <c r="J461" s="16" t="str">
        <f t="shared" si="2"/>
        <v/>
      </c>
    </row>
    <row r="462" customHeight="1" spans="1:10">
      <c r="A462" s="8"/>
      <c r="B462" s="9"/>
      <c r="C462" s="9"/>
      <c r="D462" s="10"/>
      <c r="E462" s="10"/>
      <c r="F462" s="12" t="str">
        <f t="array" ref="F462">IF($B462="","",IFERROR(INDEX(Accounts!$B$2:$B$100,MATCH($B462,Accounts!$A$2:$A$100,0)),""))</f>
        <v/>
      </c>
      <c r="G462" s="12" t="str">
        <f t="array" ref="G462">IF($B462="","",IFERROR(INDEX(Accounts!$C$2:$C$100,MATCH($B462,Accounts!$A$2:$A$100,0)),""))</f>
        <v/>
      </c>
      <c r="H462" s="12" t="str">
        <f t="shared" si="0"/>
        <v/>
      </c>
      <c r="I462" s="15" t="str">
        <f t="shared" si="1"/>
        <v/>
      </c>
      <c r="J462" s="16" t="str">
        <f t="shared" si="2"/>
        <v/>
      </c>
    </row>
    <row r="463" customHeight="1" spans="1:10">
      <c r="A463" s="8"/>
      <c r="B463" s="9"/>
      <c r="C463" s="9"/>
      <c r="D463" s="10"/>
      <c r="E463" s="10"/>
      <c r="F463" s="12" t="str">
        <f t="array" ref="F463">IF($B463="","",IFERROR(INDEX(Accounts!$B$2:$B$100,MATCH($B463,Accounts!$A$2:$A$100,0)),""))</f>
        <v/>
      </c>
      <c r="G463" s="12" t="str">
        <f t="array" ref="G463">IF($B463="","",IFERROR(INDEX(Accounts!$C$2:$C$100,MATCH($B463,Accounts!$A$2:$A$100,0)),""))</f>
        <v/>
      </c>
      <c r="H463" s="12" t="str">
        <f t="shared" si="0"/>
        <v/>
      </c>
      <c r="I463" s="15" t="str">
        <f t="shared" si="1"/>
        <v/>
      </c>
      <c r="J463" s="16" t="str">
        <f t="shared" si="2"/>
        <v/>
      </c>
    </row>
    <row r="464" customHeight="1" spans="1:10">
      <c r="A464" s="8"/>
      <c r="B464" s="9"/>
      <c r="C464" s="9"/>
      <c r="D464" s="10"/>
      <c r="E464" s="10"/>
      <c r="F464" s="12" t="str">
        <f t="array" ref="F464">IF($B464="","",IFERROR(INDEX(Accounts!$B$2:$B$100,MATCH($B464,Accounts!$A$2:$A$100,0)),""))</f>
        <v/>
      </c>
      <c r="G464" s="12" t="str">
        <f t="array" ref="G464">IF($B464="","",IFERROR(INDEX(Accounts!$C$2:$C$100,MATCH($B464,Accounts!$A$2:$A$100,0)),""))</f>
        <v/>
      </c>
      <c r="H464" s="12" t="str">
        <f t="shared" si="0"/>
        <v/>
      </c>
      <c r="I464" s="15" t="str">
        <f t="shared" si="1"/>
        <v/>
      </c>
      <c r="J464" s="16" t="str">
        <f t="shared" si="2"/>
        <v/>
      </c>
    </row>
    <row r="465" customHeight="1" spans="1:10">
      <c r="A465" s="8"/>
      <c r="B465" s="9"/>
      <c r="C465" s="9"/>
      <c r="D465" s="10"/>
      <c r="E465" s="10"/>
      <c r="F465" s="12" t="str">
        <f t="array" ref="F465">IF($B465="","",IFERROR(INDEX(Accounts!$B$2:$B$100,MATCH($B465,Accounts!$A$2:$A$100,0)),""))</f>
        <v/>
      </c>
      <c r="G465" s="12" t="str">
        <f t="array" ref="G465">IF($B465="","",IFERROR(INDEX(Accounts!$C$2:$C$100,MATCH($B465,Accounts!$A$2:$A$100,0)),""))</f>
        <v/>
      </c>
      <c r="H465" s="12" t="str">
        <f t="shared" si="0"/>
        <v/>
      </c>
      <c r="I465" s="15" t="str">
        <f t="shared" si="1"/>
        <v/>
      </c>
      <c r="J465" s="16" t="str">
        <f t="shared" si="2"/>
        <v/>
      </c>
    </row>
    <row r="466" customHeight="1" spans="1:10">
      <c r="A466" s="8"/>
      <c r="B466" s="9"/>
      <c r="C466" s="9"/>
      <c r="D466" s="10"/>
      <c r="E466" s="10"/>
      <c r="F466" s="12" t="str">
        <f t="array" ref="F466">IF($B466="","",IFERROR(INDEX(Accounts!$B$2:$B$100,MATCH($B466,Accounts!$A$2:$A$100,0)),""))</f>
        <v/>
      </c>
      <c r="G466" s="12" t="str">
        <f t="array" ref="G466">IF($B466="","",IFERROR(INDEX(Accounts!$C$2:$C$100,MATCH($B466,Accounts!$A$2:$A$100,0)),""))</f>
        <v/>
      </c>
      <c r="H466" s="12" t="str">
        <f t="shared" si="0"/>
        <v/>
      </c>
      <c r="I466" s="15" t="str">
        <f t="shared" si="1"/>
        <v/>
      </c>
      <c r="J466" s="16" t="str">
        <f t="shared" si="2"/>
        <v/>
      </c>
    </row>
    <row r="467" customHeight="1" spans="1:10">
      <c r="A467" s="8"/>
      <c r="B467" s="9"/>
      <c r="C467" s="9"/>
      <c r="D467" s="10"/>
      <c r="E467" s="10"/>
      <c r="F467" s="12" t="str">
        <f t="array" ref="F467">IF($B467="","",IFERROR(INDEX(Accounts!$B$2:$B$100,MATCH($B467,Accounts!$A$2:$A$100,0)),""))</f>
        <v/>
      </c>
      <c r="G467" s="12" t="str">
        <f t="array" ref="G467">IF($B467="","",IFERROR(INDEX(Accounts!$C$2:$C$100,MATCH($B467,Accounts!$A$2:$A$100,0)),""))</f>
        <v/>
      </c>
      <c r="H467" s="12" t="str">
        <f t="shared" si="0"/>
        <v/>
      </c>
      <c r="I467" s="15" t="str">
        <f t="shared" si="1"/>
        <v/>
      </c>
      <c r="J467" s="16" t="str">
        <f t="shared" si="2"/>
        <v/>
      </c>
    </row>
    <row r="468" customHeight="1" spans="1:10">
      <c r="A468" s="8"/>
      <c r="B468" s="9"/>
      <c r="C468" s="9"/>
      <c r="D468" s="10"/>
      <c r="E468" s="10"/>
      <c r="F468" s="12" t="str">
        <f t="array" ref="F468">IF($B468="","",IFERROR(INDEX(Accounts!$B$2:$B$100,MATCH($B468,Accounts!$A$2:$A$100,0)),""))</f>
        <v/>
      </c>
      <c r="G468" s="12" t="str">
        <f t="array" ref="G468">IF($B468="","",IFERROR(INDEX(Accounts!$C$2:$C$100,MATCH($B468,Accounts!$A$2:$A$100,0)),""))</f>
        <v/>
      </c>
      <c r="H468" s="12" t="str">
        <f t="shared" si="0"/>
        <v/>
      </c>
      <c r="I468" s="15" t="str">
        <f t="shared" si="1"/>
        <v/>
      </c>
      <c r="J468" s="16" t="str">
        <f t="shared" si="2"/>
        <v/>
      </c>
    </row>
    <row r="469" customHeight="1" spans="1:10">
      <c r="A469" s="8"/>
      <c r="B469" s="9"/>
      <c r="C469" s="9"/>
      <c r="D469" s="10"/>
      <c r="E469" s="10"/>
      <c r="F469" s="12" t="str">
        <f t="array" ref="F469">IF($B469="","",IFERROR(INDEX(Accounts!$B$2:$B$100,MATCH($B469,Accounts!$A$2:$A$100,0)),""))</f>
        <v/>
      </c>
      <c r="G469" s="12" t="str">
        <f t="array" ref="G469">IF($B469="","",IFERROR(INDEX(Accounts!$C$2:$C$100,MATCH($B469,Accounts!$A$2:$A$100,0)),""))</f>
        <v/>
      </c>
      <c r="H469" s="12" t="str">
        <f t="shared" si="0"/>
        <v/>
      </c>
      <c r="I469" s="15" t="str">
        <f t="shared" si="1"/>
        <v/>
      </c>
      <c r="J469" s="16" t="str">
        <f t="shared" si="2"/>
        <v/>
      </c>
    </row>
    <row r="470" customHeight="1" spans="1:10">
      <c r="A470" s="8"/>
      <c r="B470" s="9"/>
      <c r="C470" s="9"/>
      <c r="D470" s="10"/>
      <c r="E470" s="10"/>
      <c r="F470" s="12" t="str">
        <f t="array" ref="F470">IF($B470="","",IFERROR(INDEX(Accounts!$B$2:$B$100,MATCH($B470,Accounts!$A$2:$A$100,0)),""))</f>
        <v/>
      </c>
      <c r="G470" s="12" t="str">
        <f t="array" ref="G470">IF($B470="","",IFERROR(INDEX(Accounts!$C$2:$C$100,MATCH($B470,Accounts!$A$2:$A$100,0)),""))</f>
        <v/>
      </c>
      <c r="H470" s="12" t="str">
        <f t="shared" si="0"/>
        <v/>
      </c>
      <c r="I470" s="15" t="str">
        <f t="shared" si="1"/>
        <v/>
      </c>
      <c r="J470" s="16" t="str">
        <f t="shared" si="2"/>
        <v/>
      </c>
    </row>
    <row r="471" customHeight="1" spans="1:10">
      <c r="A471" s="8"/>
      <c r="B471" s="9"/>
      <c r="C471" s="9"/>
      <c r="D471" s="10"/>
      <c r="E471" s="10"/>
      <c r="F471" s="12" t="str">
        <f t="array" ref="F471">IF($B471="","",IFERROR(INDEX(Accounts!$B$2:$B$100,MATCH($B471,Accounts!$A$2:$A$100,0)),""))</f>
        <v/>
      </c>
      <c r="G471" s="12" t="str">
        <f t="array" ref="G471">IF($B471="","",IFERROR(INDEX(Accounts!$C$2:$C$100,MATCH($B471,Accounts!$A$2:$A$100,0)),""))</f>
        <v/>
      </c>
      <c r="H471" s="12" t="str">
        <f t="shared" si="0"/>
        <v/>
      </c>
      <c r="I471" s="15" t="str">
        <f t="shared" si="1"/>
        <v/>
      </c>
      <c r="J471" s="16" t="str">
        <f t="shared" si="2"/>
        <v/>
      </c>
    </row>
    <row r="472" customHeight="1" spans="1:10">
      <c r="A472" s="8"/>
      <c r="B472" s="9"/>
      <c r="C472" s="9"/>
      <c r="D472" s="10"/>
      <c r="E472" s="10"/>
      <c r="F472" s="12" t="str">
        <f t="array" ref="F472">IF($B472="","",IFERROR(INDEX(Accounts!$B$2:$B$100,MATCH($B472,Accounts!$A$2:$A$100,0)),""))</f>
        <v/>
      </c>
      <c r="G472" s="12" t="str">
        <f t="array" ref="G472">IF($B472="","",IFERROR(INDEX(Accounts!$C$2:$C$100,MATCH($B472,Accounts!$A$2:$A$100,0)),""))</f>
        <v/>
      </c>
      <c r="H472" s="12" t="str">
        <f t="shared" si="0"/>
        <v/>
      </c>
      <c r="I472" s="15" t="str">
        <f t="shared" si="1"/>
        <v/>
      </c>
      <c r="J472" s="16" t="str">
        <f t="shared" si="2"/>
        <v/>
      </c>
    </row>
    <row r="473" customHeight="1" spans="1:10">
      <c r="A473" s="8"/>
      <c r="B473" s="9"/>
      <c r="C473" s="9"/>
      <c r="D473" s="10"/>
      <c r="E473" s="10"/>
      <c r="F473" s="12" t="str">
        <f t="array" ref="F473">IF($B473="","",IFERROR(INDEX(Accounts!$B$2:$B$100,MATCH($B473,Accounts!$A$2:$A$100,0)),""))</f>
        <v/>
      </c>
      <c r="G473" s="12" t="str">
        <f t="array" ref="G473">IF($B473="","",IFERROR(INDEX(Accounts!$C$2:$C$100,MATCH($B473,Accounts!$A$2:$A$100,0)),""))</f>
        <v/>
      </c>
      <c r="H473" s="12" t="str">
        <f t="shared" si="0"/>
        <v/>
      </c>
      <c r="I473" s="15" t="str">
        <f t="shared" si="1"/>
        <v/>
      </c>
      <c r="J473" s="16" t="str">
        <f t="shared" si="2"/>
        <v/>
      </c>
    </row>
    <row r="474" customHeight="1" spans="1:10">
      <c r="A474" s="8"/>
      <c r="B474" s="9"/>
      <c r="C474" s="9"/>
      <c r="D474" s="10"/>
      <c r="E474" s="10"/>
      <c r="F474" s="12" t="str">
        <f t="array" ref="F474">IF($B474="","",IFERROR(INDEX(Accounts!$B$2:$B$100,MATCH($B474,Accounts!$A$2:$A$100,0)),""))</f>
        <v/>
      </c>
      <c r="G474" s="12" t="str">
        <f t="array" ref="G474">IF($B474="","",IFERROR(INDEX(Accounts!$C$2:$C$100,MATCH($B474,Accounts!$A$2:$A$100,0)),""))</f>
        <v/>
      </c>
      <c r="H474" s="12" t="str">
        <f t="shared" si="0"/>
        <v/>
      </c>
      <c r="I474" s="15" t="str">
        <f t="shared" si="1"/>
        <v/>
      </c>
      <c r="J474" s="16" t="str">
        <f t="shared" si="2"/>
        <v/>
      </c>
    </row>
    <row r="475" customHeight="1" spans="1:10">
      <c r="A475" s="8"/>
      <c r="B475" s="9"/>
      <c r="C475" s="9"/>
      <c r="D475" s="10"/>
      <c r="E475" s="10"/>
      <c r="F475" s="12" t="str">
        <f t="array" ref="F475">IF($B475="","",IFERROR(INDEX(Accounts!$B$2:$B$100,MATCH($B475,Accounts!$A$2:$A$100,0)),""))</f>
        <v/>
      </c>
      <c r="G475" s="12" t="str">
        <f t="array" ref="G475">IF($B475="","",IFERROR(INDEX(Accounts!$C$2:$C$100,MATCH($B475,Accounts!$A$2:$A$100,0)),""))</f>
        <v/>
      </c>
      <c r="H475" s="12" t="str">
        <f t="shared" si="0"/>
        <v/>
      </c>
      <c r="I475" s="15" t="str">
        <f t="shared" si="1"/>
        <v/>
      </c>
      <c r="J475" s="16" t="str">
        <f t="shared" si="2"/>
        <v/>
      </c>
    </row>
    <row r="476" customHeight="1" spans="1:10">
      <c r="A476" s="8"/>
      <c r="B476" s="9"/>
      <c r="C476" s="9"/>
      <c r="D476" s="10"/>
      <c r="E476" s="10"/>
      <c r="F476" s="12" t="str">
        <f t="array" ref="F476">IF($B476="","",IFERROR(INDEX(Accounts!$B$2:$B$100,MATCH($B476,Accounts!$A$2:$A$100,0)),""))</f>
        <v/>
      </c>
      <c r="G476" s="12" t="str">
        <f t="array" ref="G476">IF($B476="","",IFERROR(INDEX(Accounts!$C$2:$C$100,MATCH($B476,Accounts!$A$2:$A$100,0)),""))</f>
        <v/>
      </c>
      <c r="H476" s="12" t="str">
        <f t="shared" si="0"/>
        <v/>
      </c>
      <c r="I476" s="15" t="str">
        <f t="shared" si="1"/>
        <v/>
      </c>
      <c r="J476" s="16" t="str">
        <f t="shared" si="2"/>
        <v/>
      </c>
    </row>
    <row r="477" customHeight="1" spans="1:10">
      <c r="A477" s="8"/>
      <c r="B477" s="9"/>
      <c r="C477" s="9"/>
      <c r="D477" s="10"/>
      <c r="E477" s="10"/>
      <c r="F477" s="12" t="str">
        <f t="array" ref="F477">IF($B477="","",IFERROR(INDEX(Accounts!$B$2:$B$100,MATCH($B477,Accounts!$A$2:$A$100,0)),""))</f>
        <v/>
      </c>
      <c r="G477" s="12" t="str">
        <f t="array" ref="G477">IF($B477="","",IFERROR(INDEX(Accounts!$C$2:$C$100,MATCH($B477,Accounts!$A$2:$A$100,0)),""))</f>
        <v/>
      </c>
      <c r="H477" s="12" t="str">
        <f t="shared" si="0"/>
        <v/>
      </c>
      <c r="I477" s="15" t="str">
        <f t="shared" si="1"/>
        <v/>
      </c>
      <c r="J477" s="16" t="str">
        <f t="shared" si="2"/>
        <v/>
      </c>
    </row>
    <row r="478" customHeight="1" spans="1:10">
      <c r="A478" s="8"/>
      <c r="B478" s="9"/>
      <c r="C478" s="9"/>
      <c r="D478" s="10"/>
      <c r="E478" s="10"/>
      <c r="F478" s="12" t="str">
        <f t="array" ref="F478">IF($B478="","",IFERROR(INDEX(Accounts!$B$2:$B$100,MATCH($B478,Accounts!$A$2:$A$100,0)),""))</f>
        <v/>
      </c>
      <c r="G478" s="12" t="str">
        <f t="array" ref="G478">IF($B478="","",IFERROR(INDEX(Accounts!$C$2:$C$100,MATCH($B478,Accounts!$A$2:$A$100,0)),""))</f>
        <v/>
      </c>
      <c r="H478" s="12" t="str">
        <f t="shared" si="0"/>
        <v/>
      </c>
      <c r="I478" s="15" t="str">
        <f t="shared" si="1"/>
        <v/>
      </c>
      <c r="J478" s="16" t="str">
        <f t="shared" si="2"/>
        <v/>
      </c>
    </row>
    <row r="479" customHeight="1" spans="1:10">
      <c r="A479" s="8"/>
      <c r="B479" s="9"/>
      <c r="C479" s="9"/>
      <c r="D479" s="10"/>
      <c r="E479" s="10"/>
      <c r="F479" s="12" t="str">
        <f t="array" ref="F479">IF($B479="","",IFERROR(INDEX(Accounts!$B$2:$B$100,MATCH($B479,Accounts!$A$2:$A$100,0)),""))</f>
        <v/>
      </c>
      <c r="G479" s="12" t="str">
        <f t="array" ref="G479">IF($B479="","",IFERROR(INDEX(Accounts!$C$2:$C$100,MATCH($B479,Accounts!$A$2:$A$100,0)),""))</f>
        <v/>
      </c>
      <c r="H479" s="12" t="str">
        <f t="shared" si="0"/>
        <v/>
      </c>
      <c r="I479" s="15" t="str">
        <f t="shared" si="1"/>
        <v/>
      </c>
      <c r="J479" s="16" t="str">
        <f t="shared" si="2"/>
        <v/>
      </c>
    </row>
    <row r="480" customHeight="1" spans="1:10">
      <c r="A480" s="8"/>
      <c r="B480" s="9"/>
      <c r="C480" s="9"/>
      <c r="D480" s="10"/>
      <c r="E480" s="10"/>
      <c r="F480" s="12" t="str">
        <f t="array" ref="F480">IF($B480="","",IFERROR(INDEX(Accounts!$B$2:$B$100,MATCH($B480,Accounts!$A$2:$A$100,0)),""))</f>
        <v/>
      </c>
      <c r="G480" s="12" t="str">
        <f t="array" ref="G480">IF($B480="","",IFERROR(INDEX(Accounts!$C$2:$C$100,MATCH($B480,Accounts!$A$2:$A$100,0)),""))</f>
        <v/>
      </c>
      <c r="H480" s="12" t="str">
        <f t="shared" si="0"/>
        <v/>
      </c>
      <c r="I480" s="15" t="str">
        <f t="shared" si="1"/>
        <v/>
      </c>
      <c r="J480" s="16" t="str">
        <f t="shared" si="2"/>
        <v/>
      </c>
    </row>
    <row r="481" customHeight="1" spans="1:10">
      <c r="A481" s="8"/>
      <c r="B481" s="9"/>
      <c r="C481" s="9"/>
      <c r="D481" s="10"/>
      <c r="E481" s="10"/>
      <c r="F481" s="12" t="str">
        <f t="array" ref="F481">IF($B481="","",IFERROR(INDEX(Accounts!$B$2:$B$100,MATCH($B481,Accounts!$A$2:$A$100,0)),""))</f>
        <v/>
      </c>
      <c r="G481" s="12" t="str">
        <f t="array" ref="G481">IF($B481="","",IFERROR(INDEX(Accounts!$C$2:$C$100,MATCH($B481,Accounts!$A$2:$A$100,0)),""))</f>
        <v/>
      </c>
      <c r="H481" s="12" t="str">
        <f t="shared" si="0"/>
        <v/>
      </c>
      <c r="I481" s="15" t="str">
        <f t="shared" si="1"/>
        <v/>
      </c>
      <c r="J481" s="16" t="str">
        <f t="shared" si="2"/>
        <v/>
      </c>
    </row>
    <row r="482" customHeight="1" spans="1:10">
      <c r="A482" s="8"/>
      <c r="B482" s="9"/>
      <c r="C482" s="9"/>
      <c r="D482" s="10"/>
      <c r="E482" s="10"/>
      <c r="F482" s="12" t="str">
        <f t="array" ref="F482">IF($B482="","",IFERROR(INDEX(Accounts!$B$2:$B$100,MATCH($B482,Accounts!$A$2:$A$100,0)),""))</f>
        <v/>
      </c>
      <c r="G482" s="12" t="str">
        <f t="array" ref="G482">IF($B482="","",IFERROR(INDEX(Accounts!$C$2:$C$100,MATCH($B482,Accounts!$A$2:$A$100,0)),""))</f>
        <v/>
      </c>
      <c r="H482" s="12" t="str">
        <f t="shared" si="0"/>
        <v/>
      </c>
      <c r="I482" s="15" t="str">
        <f t="shared" si="1"/>
        <v/>
      </c>
      <c r="J482" s="16" t="str">
        <f t="shared" si="2"/>
        <v/>
      </c>
    </row>
    <row r="483" customHeight="1" spans="1:10">
      <c r="A483" s="8"/>
      <c r="B483" s="9"/>
      <c r="C483" s="9"/>
      <c r="D483" s="10"/>
      <c r="E483" s="10"/>
      <c r="F483" s="12" t="str">
        <f t="array" ref="F483">IF($B483="","",IFERROR(INDEX(Accounts!$B$2:$B$100,MATCH($B483,Accounts!$A$2:$A$100,0)),""))</f>
        <v/>
      </c>
      <c r="G483" s="12" t="str">
        <f t="array" ref="G483">IF($B483="","",IFERROR(INDEX(Accounts!$C$2:$C$100,MATCH($B483,Accounts!$A$2:$A$100,0)),""))</f>
        <v/>
      </c>
      <c r="H483" s="12" t="str">
        <f t="shared" si="0"/>
        <v/>
      </c>
      <c r="I483" s="15" t="str">
        <f t="shared" si="1"/>
        <v/>
      </c>
      <c r="J483" s="16" t="str">
        <f t="shared" si="2"/>
        <v/>
      </c>
    </row>
    <row r="484" customHeight="1" spans="1:10">
      <c r="A484" s="8"/>
      <c r="B484" s="9"/>
      <c r="C484" s="9"/>
      <c r="D484" s="10"/>
      <c r="E484" s="10"/>
      <c r="F484" s="12" t="str">
        <f t="array" ref="F484">IF($B484="","",IFERROR(INDEX(Accounts!$B$2:$B$100,MATCH($B484,Accounts!$A$2:$A$100,0)),""))</f>
        <v/>
      </c>
      <c r="G484" s="12" t="str">
        <f t="array" ref="G484">IF($B484="","",IFERROR(INDEX(Accounts!$C$2:$C$100,MATCH($B484,Accounts!$A$2:$A$100,0)),""))</f>
        <v/>
      </c>
      <c r="H484" s="12" t="str">
        <f t="shared" si="0"/>
        <v/>
      </c>
      <c r="I484" s="15" t="str">
        <f t="shared" si="1"/>
        <v/>
      </c>
      <c r="J484" s="16" t="str">
        <f t="shared" si="2"/>
        <v/>
      </c>
    </row>
    <row r="485" customHeight="1" spans="1:10">
      <c r="A485" s="8"/>
      <c r="B485" s="9"/>
      <c r="C485" s="9"/>
      <c r="D485" s="10"/>
      <c r="E485" s="10"/>
      <c r="F485" s="12" t="str">
        <f t="array" ref="F485">IF($B485="","",IFERROR(INDEX(Accounts!$B$2:$B$100,MATCH($B485,Accounts!$A$2:$A$100,0)),""))</f>
        <v/>
      </c>
      <c r="G485" s="12" t="str">
        <f t="array" ref="G485">IF($B485="","",IFERROR(INDEX(Accounts!$C$2:$C$100,MATCH($B485,Accounts!$A$2:$A$100,0)),""))</f>
        <v/>
      </c>
      <c r="H485" s="12" t="str">
        <f t="shared" si="0"/>
        <v/>
      </c>
      <c r="I485" s="15" t="str">
        <f t="shared" si="1"/>
        <v/>
      </c>
      <c r="J485" s="16" t="str">
        <f t="shared" si="2"/>
        <v/>
      </c>
    </row>
    <row r="486" customHeight="1" spans="1:10">
      <c r="A486" s="8"/>
      <c r="B486" s="9"/>
      <c r="C486" s="9"/>
      <c r="D486" s="10"/>
      <c r="E486" s="10"/>
      <c r="F486" s="12" t="str">
        <f t="array" ref="F486">IF($B486="","",IFERROR(INDEX(Accounts!$B$2:$B$100,MATCH($B486,Accounts!$A$2:$A$100,0)),""))</f>
        <v/>
      </c>
      <c r="G486" s="12" t="str">
        <f t="array" ref="G486">IF($B486="","",IFERROR(INDEX(Accounts!$C$2:$C$100,MATCH($B486,Accounts!$A$2:$A$100,0)),""))</f>
        <v/>
      </c>
      <c r="H486" s="12" t="str">
        <f t="shared" si="0"/>
        <v/>
      </c>
      <c r="I486" s="15" t="str">
        <f t="shared" si="1"/>
        <v/>
      </c>
      <c r="J486" s="16" t="str">
        <f t="shared" si="2"/>
        <v/>
      </c>
    </row>
    <row r="487" customHeight="1" spans="1:10">
      <c r="A487" s="8"/>
      <c r="B487" s="9"/>
      <c r="C487" s="9"/>
      <c r="D487" s="10"/>
      <c r="E487" s="10"/>
      <c r="F487" s="12" t="str">
        <f t="array" ref="F487">IF($B487="","",IFERROR(INDEX(Accounts!$B$2:$B$100,MATCH($B487,Accounts!$A$2:$A$100,0)),""))</f>
        <v/>
      </c>
      <c r="G487" s="12" t="str">
        <f t="array" ref="G487">IF($B487="","",IFERROR(INDEX(Accounts!$C$2:$C$100,MATCH($B487,Accounts!$A$2:$A$100,0)),""))</f>
        <v/>
      </c>
      <c r="H487" s="12" t="str">
        <f t="shared" si="0"/>
        <v/>
      </c>
      <c r="I487" s="15" t="str">
        <f t="shared" si="1"/>
        <v/>
      </c>
      <c r="J487" s="16" t="str">
        <f t="shared" si="2"/>
        <v/>
      </c>
    </row>
    <row r="488" customHeight="1" spans="1:10">
      <c r="A488" s="8"/>
      <c r="B488" s="9"/>
      <c r="C488" s="9"/>
      <c r="D488" s="10"/>
      <c r="E488" s="10"/>
      <c r="F488" s="12" t="str">
        <f t="array" ref="F488">IF($B488="","",IFERROR(INDEX(Accounts!$B$2:$B$100,MATCH($B488,Accounts!$A$2:$A$100,0)),""))</f>
        <v/>
      </c>
      <c r="G488" s="12" t="str">
        <f t="array" ref="G488">IF($B488="","",IFERROR(INDEX(Accounts!$C$2:$C$100,MATCH($B488,Accounts!$A$2:$A$100,0)),""))</f>
        <v/>
      </c>
      <c r="H488" s="12" t="str">
        <f t="shared" si="0"/>
        <v/>
      </c>
      <c r="I488" s="15" t="str">
        <f t="shared" si="1"/>
        <v/>
      </c>
      <c r="J488" s="16" t="str">
        <f t="shared" si="2"/>
        <v/>
      </c>
    </row>
    <row r="489" customHeight="1" spans="1:10">
      <c r="A489" s="8"/>
      <c r="B489" s="9"/>
      <c r="C489" s="9"/>
      <c r="D489" s="10"/>
      <c r="E489" s="10"/>
      <c r="F489" s="12" t="str">
        <f t="array" ref="F489">IF($B489="","",IFERROR(INDEX(Accounts!$B$2:$B$100,MATCH($B489,Accounts!$A$2:$A$100,0)),""))</f>
        <v/>
      </c>
      <c r="G489" s="12" t="str">
        <f t="array" ref="G489">IF($B489="","",IFERROR(INDEX(Accounts!$C$2:$C$100,MATCH($B489,Accounts!$A$2:$A$100,0)),""))</f>
        <v/>
      </c>
      <c r="H489" s="12" t="str">
        <f t="shared" si="0"/>
        <v/>
      </c>
      <c r="I489" s="15" t="str">
        <f t="shared" si="1"/>
        <v/>
      </c>
      <c r="J489" s="16" t="str">
        <f t="shared" si="2"/>
        <v/>
      </c>
    </row>
    <row r="490" customHeight="1" spans="1:10">
      <c r="A490" s="8"/>
      <c r="B490" s="9"/>
      <c r="C490" s="9"/>
      <c r="D490" s="10"/>
      <c r="E490" s="10"/>
      <c r="F490" s="12" t="str">
        <f t="array" ref="F490">IF($B490="","",IFERROR(INDEX(Accounts!$B$2:$B$100,MATCH($B490,Accounts!$A$2:$A$100,0)),""))</f>
        <v/>
      </c>
      <c r="G490" s="12" t="str">
        <f t="array" ref="G490">IF($B490="","",IFERROR(INDEX(Accounts!$C$2:$C$100,MATCH($B490,Accounts!$A$2:$A$100,0)),""))</f>
        <v/>
      </c>
      <c r="H490" s="12" t="str">
        <f t="shared" si="0"/>
        <v/>
      </c>
      <c r="I490" s="15" t="str">
        <f t="shared" si="1"/>
        <v/>
      </c>
      <c r="J490" s="16" t="str">
        <f t="shared" si="2"/>
        <v/>
      </c>
    </row>
    <row r="491" customHeight="1" spans="1:10">
      <c r="A491" s="8"/>
      <c r="B491" s="9"/>
      <c r="C491" s="9"/>
      <c r="D491" s="10"/>
      <c r="E491" s="10"/>
      <c r="F491" s="12" t="str">
        <f t="array" ref="F491">IF($B491="","",IFERROR(INDEX(Accounts!$B$2:$B$100,MATCH($B491,Accounts!$A$2:$A$100,0)),""))</f>
        <v/>
      </c>
      <c r="G491" s="12" t="str">
        <f t="array" ref="G491">IF($B491="","",IFERROR(INDEX(Accounts!$C$2:$C$100,MATCH($B491,Accounts!$A$2:$A$100,0)),""))</f>
        <v/>
      </c>
      <c r="H491" s="12" t="str">
        <f t="shared" si="0"/>
        <v/>
      </c>
      <c r="I491" s="15" t="str">
        <f t="shared" si="1"/>
        <v/>
      </c>
      <c r="J491" s="16" t="str">
        <f t="shared" si="2"/>
        <v/>
      </c>
    </row>
    <row r="492" customHeight="1" spans="1:10">
      <c r="A492" s="8"/>
      <c r="B492" s="9"/>
      <c r="C492" s="9"/>
      <c r="D492" s="10"/>
      <c r="E492" s="10"/>
      <c r="F492" s="12" t="str">
        <f t="array" ref="F492">IF($B492="","",IFERROR(INDEX(Accounts!$B$2:$B$100,MATCH($B492,Accounts!$A$2:$A$100,0)),""))</f>
        <v/>
      </c>
      <c r="G492" s="12" t="str">
        <f t="array" ref="G492">IF($B492="","",IFERROR(INDEX(Accounts!$C$2:$C$100,MATCH($B492,Accounts!$A$2:$A$100,0)),""))</f>
        <v/>
      </c>
      <c r="H492" s="12" t="str">
        <f t="shared" si="0"/>
        <v/>
      </c>
      <c r="I492" s="15" t="str">
        <f t="shared" si="1"/>
        <v/>
      </c>
      <c r="J492" s="16" t="str">
        <f t="shared" si="2"/>
        <v/>
      </c>
    </row>
    <row r="493" customHeight="1" spans="1:10">
      <c r="A493" s="8"/>
      <c r="B493" s="9"/>
      <c r="C493" s="9"/>
      <c r="D493" s="10"/>
      <c r="E493" s="10"/>
      <c r="F493" s="12" t="str">
        <f t="array" ref="F493">IF($B493="","",IFERROR(INDEX(Accounts!$B$2:$B$100,MATCH($B493,Accounts!$A$2:$A$100,0)),""))</f>
        <v/>
      </c>
      <c r="G493" s="12" t="str">
        <f t="array" ref="G493">IF($B493="","",IFERROR(INDEX(Accounts!$C$2:$C$100,MATCH($B493,Accounts!$A$2:$A$100,0)),""))</f>
        <v/>
      </c>
      <c r="H493" s="12" t="str">
        <f t="shared" si="0"/>
        <v/>
      </c>
      <c r="I493" s="15" t="str">
        <f t="shared" si="1"/>
        <v/>
      </c>
      <c r="J493" s="16" t="str">
        <f t="shared" si="2"/>
        <v/>
      </c>
    </row>
    <row r="494" customHeight="1" spans="1:10">
      <c r="A494" s="8"/>
      <c r="B494" s="9"/>
      <c r="C494" s="9"/>
      <c r="D494" s="10"/>
      <c r="E494" s="10"/>
      <c r="F494" s="12" t="str">
        <f t="array" ref="F494">IF($B494="","",IFERROR(INDEX(Accounts!$B$2:$B$100,MATCH($B494,Accounts!$A$2:$A$100,0)),""))</f>
        <v/>
      </c>
      <c r="G494" s="12" t="str">
        <f t="array" ref="G494">IF($B494="","",IFERROR(INDEX(Accounts!$C$2:$C$100,MATCH($B494,Accounts!$A$2:$A$100,0)),""))</f>
        <v/>
      </c>
      <c r="H494" s="12" t="str">
        <f t="shared" si="0"/>
        <v/>
      </c>
      <c r="I494" s="15" t="str">
        <f t="shared" si="1"/>
        <v/>
      </c>
      <c r="J494" s="16" t="str">
        <f t="shared" si="2"/>
        <v/>
      </c>
    </row>
    <row r="495" customHeight="1" spans="1:10">
      <c r="A495" s="8"/>
      <c r="B495" s="9"/>
      <c r="C495" s="9"/>
      <c r="D495" s="10"/>
      <c r="E495" s="10"/>
      <c r="F495" s="12" t="str">
        <f t="array" ref="F495">IF($B495="","",IFERROR(INDEX(Accounts!$B$2:$B$100,MATCH($B495,Accounts!$A$2:$A$100,0)),""))</f>
        <v/>
      </c>
      <c r="G495" s="12" t="str">
        <f t="array" ref="G495">IF($B495="","",IFERROR(INDEX(Accounts!$C$2:$C$100,MATCH($B495,Accounts!$A$2:$A$100,0)),""))</f>
        <v/>
      </c>
      <c r="H495" s="12" t="str">
        <f t="shared" si="0"/>
        <v/>
      </c>
      <c r="I495" s="15" t="str">
        <f t="shared" si="1"/>
        <v/>
      </c>
      <c r="J495" s="16" t="str">
        <f t="shared" si="2"/>
        <v/>
      </c>
    </row>
    <row r="496" customHeight="1" spans="1:10">
      <c r="A496" s="8"/>
      <c r="B496" s="9"/>
      <c r="C496" s="9"/>
      <c r="D496" s="10"/>
      <c r="E496" s="10"/>
      <c r="F496" s="12" t="str">
        <f t="array" ref="F496">IF($B496="","",IFERROR(INDEX(Accounts!$B$2:$B$100,MATCH($B496,Accounts!$A$2:$A$100,0)),""))</f>
        <v/>
      </c>
      <c r="G496" s="12" t="str">
        <f t="array" ref="G496">IF($B496="","",IFERROR(INDEX(Accounts!$C$2:$C$100,MATCH($B496,Accounts!$A$2:$A$100,0)),""))</f>
        <v/>
      </c>
      <c r="H496" s="12" t="str">
        <f t="shared" si="0"/>
        <v/>
      </c>
      <c r="I496" s="15" t="str">
        <f t="shared" si="1"/>
        <v/>
      </c>
      <c r="J496" s="16" t="str">
        <f t="shared" si="2"/>
        <v/>
      </c>
    </row>
    <row r="497" customHeight="1" spans="1:10">
      <c r="A497" s="8"/>
      <c r="B497" s="9"/>
      <c r="C497" s="9"/>
      <c r="D497" s="10"/>
      <c r="E497" s="10"/>
      <c r="F497" s="12" t="str">
        <f t="array" ref="F497">IF($B497="","",IFERROR(INDEX(Accounts!$B$2:$B$100,MATCH($B497,Accounts!$A$2:$A$100,0)),""))</f>
        <v/>
      </c>
      <c r="G497" s="12" t="str">
        <f t="array" ref="G497">IF($B497="","",IFERROR(INDEX(Accounts!$C$2:$C$100,MATCH($B497,Accounts!$A$2:$A$100,0)),""))</f>
        <v/>
      </c>
      <c r="H497" s="12" t="str">
        <f t="shared" si="0"/>
        <v/>
      </c>
      <c r="I497" s="15" t="str">
        <f t="shared" si="1"/>
        <v/>
      </c>
      <c r="J497" s="16" t="str">
        <f t="shared" si="2"/>
        <v/>
      </c>
    </row>
    <row r="498" customHeight="1" spans="1:10">
      <c r="A498" s="8"/>
      <c r="B498" s="9"/>
      <c r="C498" s="9"/>
      <c r="D498" s="10"/>
      <c r="E498" s="10"/>
      <c r="F498" s="12" t="str">
        <f t="array" ref="F498">IF($B498="","",IFERROR(INDEX(Accounts!$B$2:$B$100,MATCH($B498,Accounts!$A$2:$A$100,0)),""))</f>
        <v/>
      </c>
      <c r="G498" s="12" t="str">
        <f t="array" ref="G498">IF($B498="","",IFERROR(INDEX(Accounts!$C$2:$C$100,MATCH($B498,Accounts!$A$2:$A$100,0)),""))</f>
        <v/>
      </c>
      <c r="H498" s="12" t="str">
        <f t="shared" si="0"/>
        <v/>
      </c>
      <c r="I498" s="15" t="str">
        <f t="shared" si="1"/>
        <v/>
      </c>
      <c r="J498" s="16" t="str">
        <f t="shared" si="2"/>
        <v/>
      </c>
    </row>
    <row r="499" customHeight="1" spans="1:10">
      <c r="A499" s="8"/>
      <c r="B499" s="9"/>
      <c r="C499" s="9"/>
      <c r="D499" s="10"/>
      <c r="E499" s="10"/>
      <c r="F499" s="12" t="str">
        <f t="array" ref="F499">IF($B499="","",IFERROR(INDEX(Accounts!$B$2:$B$100,MATCH($B499,Accounts!$A$2:$A$100,0)),""))</f>
        <v/>
      </c>
      <c r="G499" s="12" t="str">
        <f t="array" ref="G499">IF($B499="","",IFERROR(INDEX(Accounts!$C$2:$C$100,MATCH($B499,Accounts!$A$2:$A$100,0)),""))</f>
        <v/>
      </c>
      <c r="H499" s="12" t="str">
        <f t="shared" si="0"/>
        <v/>
      </c>
      <c r="I499" s="15" t="str">
        <f t="shared" si="1"/>
        <v/>
      </c>
      <c r="J499" s="16" t="str">
        <f t="shared" si="2"/>
        <v/>
      </c>
    </row>
    <row r="500" customHeight="1" spans="1:10">
      <c r="A500" s="8"/>
      <c r="B500" s="9"/>
      <c r="C500" s="9"/>
      <c r="D500" s="10"/>
      <c r="E500" s="10"/>
      <c r="F500" s="12" t="str">
        <f t="array" ref="F500">IF($B500="","",IFERROR(INDEX(Accounts!$B$2:$B$100,MATCH($B500,Accounts!$A$2:$A$100,0)),""))</f>
        <v/>
      </c>
      <c r="G500" s="12" t="str">
        <f t="array" ref="G500">IF($B500="","",IFERROR(INDEX(Accounts!$C$2:$C$100,MATCH($B500,Accounts!$A$2:$A$100,0)),""))</f>
        <v/>
      </c>
      <c r="H500" s="12" t="str">
        <f t="shared" si="0"/>
        <v/>
      </c>
      <c r="I500" s="15" t="str">
        <f t="shared" si="1"/>
        <v/>
      </c>
      <c r="J500" s="16" t="str">
        <f t="shared" si="2"/>
        <v/>
      </c>
    </row>
    <row r="501" ht="15.75" customHeight="1" spans="1:10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 ht="15.75" customHeight="1" spans="1:10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 ht="15.75" customHeight="1" spans="1:10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 ht="15.75" customHeight="1" spans="1:10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 ht="15.75" customHeight="1" spans="1:10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 ht="15.75" customHeight="1" spans="1:10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 ht="15.75" customHeight="1" spans="1:10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 ht="15.75" customHeight="1" spans="1:10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 ht="15.75" customHeight="1" spans="1:10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 ht="15.75" customHeight="1" spans="1:10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 ht="15.75" customHeight="1" spans="1:10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 ht="15.75" customHeight="1" spans="1:10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 ht="15.75" customHeight="1" spans="1:10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 ht="15.75" customHeight="1" spans="1:10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 ht="15.75" customHeight="1" spans="1:10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 ht="15.75" customHeight="1" spans="1:10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 ht="15.75" customHeight="1" spans="1:10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ht="15.75" customHeight="1" spans="1:10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ht="15.75" customHeight="1" spans="1:10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 ht="15.75" customHeight="1" spans="1:10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 ht="15.75" customHeight="1" spans="1:10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 ht="15.75" customHeight="1" spans="1:10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 ht="15.75" customHeight="1" spans="1:10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 ht="15.75" customHeight="1" spans="1:10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 ht="15.75" customHeight="1" spans="1:10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 ht="15.75" customHeight="1" spans="1:10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 ht="15.75" customHeight="1" spans="1:10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 ht="15.75" customHeight="1" spans="1:10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 ht="15.75" customHeight="1" spans="1:10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 ht="15.75" customHeight="1" spans="1:10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 ht="15.75" customHeight="1" spans="1:10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 ht="15.75" customHeight="1" spans="1:10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 ht="15.75" customHeight="1" spans="1:10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 ht="15.75" customHeight="1" spans="1:10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 ht="15.75" customHeight="1" spans="1:10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 ht="15.75" customHeight="1" spans="1:10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 ht="15.75" customHeight="1" spans="1:10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 ht="15.75" customHeight="1" spans="1:10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 ht="15.75" customHeight="1" spans="1:10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 ht="15.75" customHeight="1" spans="1:10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 ht="15.75" customHeight="1" spans="1:10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 ht="15.75" customHeight="1" spans="1:10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 ht="15.75" customHeight="1" spans="1:10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 ht="15.75" customHeight="1" spans="1:10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 ht="15.75" customHeight="1" spans="1:10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 ht="15.75" customHeight="1" spans="1:10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 ht="15.75" customHeight="1" spans="1:10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 ht="15.75" customHeight="1" spans="1:10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 ht="15.75" customHeight="1" spans="1:10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 ht="15.75" customHeight="1" spans="1:10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 ht="15.75" customHeight="1" spans="1:10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 ht="15.75" customHeight="1" spans="1:10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 ht="15.75" customHeight="1" spans="1:10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 ht="15.75" customHeight="1" spans="1:10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 ht="15.75" customHeight="1" spans="1:10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 ht="15.75" customHeight="1" spans="1:10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 ht="15.75" customHeight="1" spans="1:10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 ht="15.75" customHeight="1" spans="1:10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 ht="15.75" customHeight="1" spans="1:10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 ht="15.75" customHeight="1" spans="1:10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 ht="15.75" customHeight="1" spans="1:10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 ht="15.75" customHeight="1" spans="1:10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 ht="15.75" customHeight="1" spans="1:10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 ht="15.75" customHeight="1" spans="1:10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ht="15.75" customHeight="1" spans="1:10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ht="15.75" customHeight="1" spans="1:10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 ht="15.75" customHeight="1" spans="1:10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 ht="15.75" customHeight="1" spans="1:10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 ht="15.75" customHeight="1" spans="1:10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 ht="15.75" customHeight="1" spans="1:10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 ht="15.75" customHeight="1" spans="1:10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 ht="15.75" customHeight="1" spans="1:10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 ht="15.75" customHeight="1" spans="1:10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 ht="15.75" customHeight="1" spans="1:10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 ht="15.75" customHeight="1" spans="1:10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 ht="15.75" customHeight="1" spans="1:10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 ht="15.75" customHeight="1" spans="1:10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 ht="15.75" customHeight="1" spans="1:10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 ht="15.75" customHeight="1" spans="1:10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 ht="15.75" customHeight="1" spans="1:10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 ht="15.75" customHeight="1" spans="1:10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 ht="15.75" customHeight="1" spans="1:10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 ht="15.75" customHeight="1" spans="1:10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 ht="15.75" customHeight="1" spans="1:10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 ht="15.75" customHeight="1" spans="1:10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 ht="15.75" customHeight="1" spans="1:10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 ht="15.75" customHeight="1" spans="1:10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 ht="15.75" customHeight="1" spans="1:10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 ht="15.75" customHeight="1" spans="1:10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 ht="15.75" customHeight="1" spans="1:10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 ht="15.75" customHeight="1" spans="1:10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 ht="15.75" customHeight="1" spans="1:10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 ht="15.75" customHeight="1" spans="1:10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 ht="15.75" customHeight="1" spans="1:10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 ht="15.75" customHeight="1" spans="1:10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 ht="15.75" customHeight="1" spans="1:10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 ht="15.75" customHeight="1" spans="1:10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 ht="15.75" customHeight="1" spans="1:10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 ht="15.75" customHeight="1" spans="1:10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 ht="15.75" customHeight="1" spans="1:10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 ht="15.75" customHeight="1" spans="1:10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 ht="15.75" customHeight="1" spans="1:10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 ht="15.75" customHeight="1" spans="1:10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 ht="15.75" customHeight="1" spans="1:10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 ht="15.75" customHeight="1" spans="1:10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 ht="15.75" customHeight="1" spans="1:10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 ht="15.75" customHeight="1" spans="1:10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 ht="15.75" customHeight="1" spans="1:10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 ht="15.75" customHeight="1" spans="1:10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 ht="15.75" customHeight="1" spans="1:10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 ht="15.75" customHeight="1" spans="1:10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ht="15.75" customHeight="1" spans="1:10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ht="15.75" customHeight="1" spans="1:10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 ht="15.75" customHeight="1" spans="1:10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 ht="15.75" customHeight="1" spans="1:10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 ht="15.75" customHeight="1" spans="1:10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 ht="15.75" customHeight="1" spans="1:10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 ht="15.75" customHeight="1" spans="1:10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 ht="15.75" customHeight="1" spans="1:10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 ht="15.75" customHeight="1" spans="1:10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 ht="15.75" customHeight="1" spans="1:10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 ht="15.75" customHeight="1" spans="1:10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 ht="15.75" customHeight="1" spans="1:10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 ht="15.75" customHeight="1" spans="1:10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 ht="15.75" customHeight="1" spans="1:10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 ht="15.75" customHeight="1" spans="1:10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 ht="15.75" customHeight="1" spans="1:10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 ht="15.75" customHeight="1" spans="1:10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 ht="15.75" customHeight="1" spans="1:10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 ht="15.75" customHeight="1" spans="1:10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 ht="15.75" customHeight="1" spans="1:10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 ht="15.75" customHeight="1" spans="1:10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 ht="15.75" customHeight="1" spans="1:10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 ht="15.75" customHeight="1" spans="1:10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 ht="15.75" customHeight="1" spans="1:10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 ht="15.75" customHeight="1" spans="1:10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 ht="15.75" customHeight="1" spans="1:10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 ht="15.75" customHeight="1" spans="1:10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 ht="15.75" customHeight="1" spans="1:10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 ht="15.75" customHeight="1" spans="1:10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 ht="15.75" customHeight="1" spans="1:10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 ht="15.75" customHeight="1" spans="1:10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 ht="15.75" customHeight="1" spans="1:10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 ht="15.75" customHeight="1" spans="1:10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 ht="15.75" customHeight="1" spans="1:10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 ht="15.75" customHeight="1" spans="1:10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 ht="15.75" customHeight="1" spans="1:10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 ht="15.75" customHeight="1" spans="1:10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 ht="15.75" customHeight="1" spans="1:10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 ht="15.75" customHeight="1" spans="1:10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 ht="15.75" customHeight="1" spans="1:10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 ht="15.75" customHeight="1" spans="1:10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 ht="15.75" customHeight="1" spans="1:10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 ht="15.75" customHeight="1" spans="1:10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 ht="15.75" customHeight="1" spans="1:10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 ht="15.75" customHeight="1" spans="1:10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 ht="15.75" customHeight="1" spans="1:10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 ht="15.75" customHeight="1" spans="1:10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 ht="15.75" customHeight="1" spans="1:10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 ht="15.75" customHeight="1" spans="1:10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 ht="15.75" customHeight="1" spans="1:10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 ht="15.75" customHeight="1" spans="1:10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 ht="15.75" customHeight="1" spans="1:10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 ht="15.75" customHeight="1" spans="1:10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 ht="15.75" customHeight="1" spans="1:10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 ht="15.75" customHeight="1" spans="1:10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 ht="15.75" customHeight="1" spans="1:10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 ht="15.75" customHeight="1" spans="1:10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 ht="15.75" customHeight="1" spans="1:10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 ht="15.75" customHeight="1" spans="1:10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 ht="15.75" customHeight="1" spans="1:10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 ht="15.75" customHeight="1" spans="1:10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 ht="15.75" customHeight="1" spans="1:10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 ht="15.75" customHeight="1" spans="1:10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 ht="15.75" customHeight="1" spans="1:10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 ht="15.75" customHeight="1" spans="1:10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 ht="15.75" customHeight="1" spans="1:10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 ht="15.75" customHeight="1" spans="1:10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 ht="15.75" customHeight="1" spans="1:10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 ht="15.75" customHeight="1" spans="1:10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 ht="15.75" customHeight="1" spans="1:10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 ht="15.75" customHeight="1" spans="1:10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 ht="15.75" customHeight="1" spans="1:10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 ht="15.75" customHeight="1" spans="1:10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 ht="15.75" customHeight="1" spans="1:10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 ht="15.75" customHeight="1" spans="1:10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 ht="15.75" customHeight="1" spans="1:10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 ht="15.75" customHeight="1" spans="1:10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 ht="15.75" customHeight="1" spans="1:10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 ht="15.75" customHeight="1" spans="1:10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 ht="15.75" customHeight="1" spans="1:10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 ht="15.75" customHeight="1" spans="1:10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 ht="15.75" customHeight="1" spans="1:10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 ht="15.75" customHeight="1" spans="1:10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 ht="15.75" customHeight="1" spans="1:10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 ht="15.75" customHeight="1" spans="1:10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 ht="15.75" customHeight="1" spans="1:10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 ht="15.75" customHeight="1" spans="1:10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 ht="15.75" customHeight="1" spans="1:10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 ht="15.75" customHeight="1" spans="1:10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 ht="15.75" customHeight="1" spans="1:10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 ht="15.75" customHeight="1" spans="1:10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 ht="15.75" customHeight="1" spans="1:10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 ht="15.75" customHeight="1" spans="1:10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 ht="15.75" customHeight="1" spans="1:10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 ht="15.75" customHeight="1" spans="1:10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 ht="15.75" customHeight="1" spans="1:10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 ht="15.75" customHeight="1" spans="1:10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 ht="15.75" customHeight="1" spans="1:10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 ht="15.75" customHeight="1" spans="1:10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 ht="15.75" customHeight="1" spans="1:10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 ht="15.75" customHeight="1" spans="1:10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 ht="15.75" customHeight="1" spans="1:10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 ht="15.75" customHeight="1" spans="1:10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 ht="15.75" customHeight="1" spans="1:10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 ht="15.75" customHeight="1" spans="1:10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 ht="15.75" customHeight="1" spans="1:10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 ht="15.75" customHeight="1" spans="1:10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 ht="15.75" customHeight="1" spans="1:10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 ht="15.75" customHeight="1" spans="1:10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 ht="15.75" customHeight="1" spans="1:10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 ht="15.75" customHeight="1" spans="1:10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 ht="15.75" customHeight="1" spans="1:10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 ht="15.75" customHeight="1" spans="1:10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 ht="15.75" customHeight="1" spans="1:10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 ht="15.75" customHeight="1" spans="1:10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 ht="15.75" customHeight="1" spans="1:10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 ht="15.75" customHeight="1" spans="1:10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 ht="15.75" customHeight="1" spans="1:10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 ht="15.75" customHeight="1" spans="1:10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 ht="15.75" customHeight="1" spans="1:10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 ht="15.75" customHeight="1" spans="1:10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 ht="15.75" customHeight="1" spans="1:10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 ht="15.75" customHeight="1" spans="1:10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 ht="15.75" customHeight="1" spans="1:10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 ht="15.75" customHeight="1" spans="1:10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 ht="15.75" customHeight="1" spans="1:10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 ht="15.75" customHeight="1" spans="1:10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 ht="15.75" customHeight="1" spans="1:10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 ht="15.75" customHeight="1" spans="1:10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 ht="15.75" customHeight="1" spans="1:10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 ht="15.75" customHeight="1" spans="1:10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 ht="15.75" customHeight="1" spans="1:10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 ht="15.75" customHeight="1" spans="1:10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 ht="15.75" customHeight="1" spans="1:10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 ht="15.75" customHeight="1" spans="1:10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 ht="15.75" customHeight="1" spans="1:10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 ht="15.75" customHeight="1" spans="1:10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 ht="15.75" customHeight="1" spans="1:10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 ht="15.75" customHeight="1" spans="1:10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 ht="15.75" customHeight="1" spans="1:10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 ht="15.75" customHeight="1" spans="1:10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 ht="15.75" customHeight="1" spans="1:10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 ht="15.75" customHeight="1" spans="1:10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 ht="15.75" customHeight="1" spans="1:10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 ht="15.75" customHeight="1" spans="1:10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 ht="15.75" customHeight="1" spans="1:10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 ht="15.75" customHeight="1" spans="1:10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 ht="15.75" customHeight="1" spans="1:10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 ht="15.75" customHeight="1" spans="1:10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 ht="15.75" customHeight="1" spans="1:10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 ht="15.75" customHeight="1" spans="1:10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 ht="15.75" customHeight="1" spans="1:10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 ht="15.75" customHeight="1" spans="1:10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 ht="15.75" customHeight="1" spans="1:10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 ht="15.75" customHeight="1" spans="1:10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 ht="15.75" customHeight="1" spans="1:10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 ht="15.75" customHeight="1" spans="1:10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 ht="15.75" customHeight="1" spans="1:10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 ht="15.75" customHeight="1" spans="1:10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 ht="15.75" customHeight="1" spans="1:10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 ht="15.75" customHeight="1" spans="1:10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 ht="15.75" customHeight="1" spans="1:10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 ht="15.75" customHeight="1" spans="1:10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 ht="15.75" customHeight="1" spans="1:10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 ht="15.75" customHeight="1" spans="1:10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 ht="15.75" customHeight="1" spans="1:10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 ht="15.75" customHeight="1" spans="1:10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 ht="15.75" customHeight="1" spans="1:10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 ht="15.75" customHeight="1" spans="1:10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 ht="15.75" customHeight="1" spans="1:10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 ht="15.75" customHeight="1" spans="1:10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 ht="15.75" customHeight="1" spans="1:10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 ht="15.75" customHeight="1" spans="1:10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 ht="15.75" customHeight="1" spans="1:10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 ht="15.75" customHeight="1" spans="1:10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 ht="15.75" customHeight="1" spans="1:10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 ht="15.75" customHeight="1" spans="1:10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 ht="15.75" customHeight="1" spans="1:10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 ht="15.75" customHeight="1" spans="1:10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 ht="15.75" customHeight="1" spans="1:10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 ht="15.75" customHeight="1" spans="1:10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 ht="15.75" customHeight="1" spans="1:10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 ht="15.75" customHeight="1" spans="1:10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 ht="15.75" customHeight="1" spans="1:10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 ht="15.75" customHeight="1" spans="1:10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 ht="15.75" customHeight="1" spans="1:10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 ht="15.75" customHeight="1" spans="1:10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 ht="15.75" customHeight="1" spans="1:10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 ht="15.75" customHeight="1" spans="1:10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 ht="15.75" customHeight="1" spans="1:10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 ht="15.75" customHeight="1" spans="1:10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 ht="15.75" customHeight="1" spans="1:10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 ht="15.75" customHeight="1" spans="1:10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 ht="15.75" customHeight="1" spans="1:10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 ht="15.75" customHeight="1" spans="1:10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 ht="15.75" customHeight="1" spans="1:10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 ht="15.75" customHeight="1" spans="1:10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 ht="15.75" customHeight="1" spans="1:10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 ht="15.75" customHeight="1" spans="1:10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 ht="15.75" customHeight="1" spans="1:10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 ht="15.75" customHeight="1" spans="1:10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 ht="15.75" customHeight="1" spans="1:10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 ht="15.75" customHeight="1" spans="1:10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 ht="15.75" customHeight="1" spans="1:10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 ht="15.75" customHeight="1" spans="1:10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 ht="15.75" customHeight="1" spans="1:10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 ht="15.75" customHeight="1" spans="1:10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 ht="15.75" customHeight="1" spans="1:10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 ht="15.75" customHeight="1" spans="1:10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 ht="15.75" customHeight="1" spans="1:10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 ht="15.75" customHeight="1" spans="1:10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 ht="15.75" customHeight="1" spans="1:10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 ht="15.75" customHeight="1" spans="1:10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 ht="15.75" customHeight="1" spans="1:10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 ht="15.75" customHeight="1" spans="1:10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 ht="15.75" customHeight="1" spans="1:10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 ht="15.75" customHeight="1" spans="1:10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 ht="15.75" customHeight="1" spans="1:10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 ht="15.75" customHeight="1" spans="1:10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 ht="15.75" customHeight="1" spans="1:10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 ht="15.75" customHeight="1" spans="1:10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 ht="15.75" customHeight="1" spans="1:10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 ht="15.75" customHeight="1" spans="1:10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 ht="15.75" customHeight="1" spans="1:10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 ht="15.75" customHeight="1" spans="1:10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 ht="15.75" customHeight="1" spans="1:10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 ht="15.75" customHeight="1" spans="1:10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 ht="15.75" customHeight="1" spans="1:10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 ht="15.75" customHeight="1" spans="1:10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 ht="15.75" customHeight="1" spans="1:10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 ht="15.75" customHeight="1" spans="1:10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 ht="15.75" customHeight="1" spans="1:10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 ht="15.75" customHeight="1" spans="1:10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 ht="15.75" customHeight="1" spans="1:10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 ht="15.75" customHeight="1" spans="1:10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 ht="15.75" customHeight="1" spans="1:10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 ht="15.75" customHeight="1" spans="1:10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 ht="15.75" customHeight="1" spans="1:10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 ht="15.75" customHeight="1" spans="1:10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 ht="15.75" customHeight="1" spans="1:10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 ht="15.75" customHeight="1" spans="1:10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 ht="15.75" customHeight="1" spans="1:10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 ht="15.75" customHeight="1" spans="1:10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 ht="15.75" customHeight="1" spans="1:10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 ht="15.75" customHeight="1" spans="1:10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 ht="15.75" customHeight="1" spans="1:10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 ht="15.75" customHeight="1" spans="1:10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 ht="15.75" customHeight="1" spans="1:10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 ht="15.75" customHeight="1" spans="1:10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 ht="15.75" customHeight="1" spans="1:10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 ht="15.75" customHeight="1" spans="1:10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 ht="15.75" customHeight="1" spans="1:10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 ht="15.75" customHeight="1" spans="1:10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 ht="15.75" customHeight="1" spans="1:10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 ht="15.75" customHeight="1" spans="1:10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 ht="15.75" customHeight="1" spans="1:10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 ht="15.75" customHeight="1" spans="1:10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 ht="15.75" customHeight="1" spans="1:10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 ht="15.75" customHeight="1" spans="1:10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 ht="15.75" customHeight="1" spans="1:10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 ht="15.75" customHeight="1" spans="1:10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 ht="15.75" customHeight="1" spans="1:10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 ht="15.75" customHeight="1" spans="1:10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 ht="15.75" customHeight="1" spans="1:10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 ht="15.75" customHeight="1" spans="1:10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 ht="15.75" customHeight="1" spans="1:10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 ht="15.75" customHeight="1" spans="1:10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 ht="15.75" customHeight="1" spans="1:10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 ht="15.75" customHeight="1" spans="1:10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 ht="15.75" customHeight="1" spans="1:10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 ht="15.75" customHeight="1" spans="1:10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 ht="15.75" customHeight="1" spans="1:10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 ht="15.75" customHeight="1" spans="1:10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 ht="15.75" customHeight="1" spans="1:10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 ht="15.75" customHeight="1" spans="1:10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 ht="15.75" customHeight="1" spans="1:10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 ht="15.75" customHeight="1" spans="1:10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 ht="15.75" customHeight="1" spans="1:10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 ht="15.75" customHeight="1" spans="1:10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 ht="15.75" customHeight="1" spans="1:10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 ht="15.75" customHeight="1" spans="1:10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 ht="15.75" customHeight="1" spans="1:10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 ht="15.75" customHeight="1" spans="1:10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 ht="15.75" customHeight="1" spans="1:10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 ht="15.75" customHeight="1" spans="1:10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 ht="15.75" customHeight="1" spans="1:10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 ht="15.75" customHeight="1" spans="1:10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 ht="15.75" customHeight="1" spans="1:10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 ht="15.75" customHeight="1" spans="1:10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 ht="15.75" customHeight="1" spans="1:10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 ht="15.75" customHeight="1" spans="1:10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 ht="15.75" customHeight="1" spans="1:10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 ht="15.75" customHeight="1" spans="1:10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 ht="15.75" customHeight="1" spans="1:10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 ht="15.75" customHeight="1" spans="1:10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 ht="15.75" customHeight="1" spans="1:10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 ht="15.75" customHeight="1" spans="1:10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 ht="15.75" customHeight="1" spans="1:10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 ht="15.75" customHeight="1" spans="1:10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 ht="15.75" customHeight="1" spans="1:10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 ht="15.75" customHeight="1" spans="1:10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 ht="15.75" customHeight="1" spans="1:10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 ht="15.75" customHeight="1" spans="1:10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 ht="15.75" customHeight="1" spans="1:10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 ht="15.75" customHeight="1" spans="1:10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 ht="15.75" customHeight="1" spans="1:10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 ht="15.75" customHeight="1" spans="1:10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 ht="15.75" customHeight="1" spans="1:10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 ht="15.75" customHeight="1" spans="1:10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 ht="15.75" customHeight="1" spans="1:10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 ht="15.75" customHeight="1" spans="1:10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 ht="15.75" customHeight="1" spans="1:10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 ht="15.75" customHeight="1" spans="1:10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 ht="15.75" customHeight="1" spans="1:10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 ht="15.75" customHeight="1" spans="1:10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 ht="15.75" customHeight="1" spans="1:10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 ht="15.75" customHeight="1" spans="1:10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 ht="15.75" customHeight="1" spans="1:10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 ht="15.75" customHeight="1" spans="1:10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 ht="15.75" customHeight="1" spans="1:10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 ht="15.75" customHeight="1" spans="1:10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 ht="15.75" customHeight="1" spans="1:10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 ht="15.75" customHeight="1" spans="1:10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 ht="15.75" customHeight="1" spans="1:10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 ht="15.75" customHeight="1" spans="1:10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 ht="15.75" customHeight="1" spans="1:10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 ht="15.75" customHeight="1" spans="1:10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 ht="15.75" customHeight="1" spans="1:10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 ht="15.75" customHeight="1" spans="1:10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 ht="15.75" customHeight="1" spans="1:10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 ht="15.75" customHeight="1" spans="1:10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 ht="15.75" customHeight="1" spans="1:10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 ht="15.75" customHeight="1" spans="1:10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 ht="15.75" customHeight="1" spans="1:10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 ht="15.75" customHeight="1" spans="1:10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 ht="15.75" customHeight="1" spans="1:10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 ht="15.75" customHeight="1" spans="1:10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 ht="15.75" customHeight="1" spans="1:10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 ht="15.75" customHeight="1" spans="1:10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 ht="15.75" customHeight="1" spans="1:10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 ht="15.75" customHeight="1" spans="1:10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 ht="15.75" customHeight="1" spans="1:10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 ht="15.75" customHeight="1" spans="1:10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 ht="15.75" customHeight="1" spans="1:10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 ht="15.75" customHeight="1" spans="1:10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 ht="15.75" customHeight="1" spans="1:10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 ht="15.75" customHeight="1" spans="1:10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 ht="15.75" customHeight="1" spans="1:10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 ht="15.75" customHeight="1" spans="1:10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 ht="15.75" customHeight="1" spans="1:10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 ht="15.75" customHeight="1" spans="1:10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 ht="15.75" customHeight="1" spans="1:10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 ht="15.75" customHeight="1" spans="1:10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 ht="15.75" customHeight="1" spans="1:10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 ht="15.75" customHeight="1" spans="1:10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 ht="15.75" customHeight="1" spans="1:10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 ht="15.75" customHeight="1" spans="1:10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 ht="15.75" customHeight="1" spans="1:10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 ht="15.75" customHeight="1" spans="1:10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 ht="15.75" customHeight="1" spans="1:10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 ht="15.75" customHeight="1" spans="1:10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 ht="15.75" customHeight="1" spans="1:10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 ht="15.75" customHeight="1" spans="1:10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 ht="15.75" customHeight="1" spans="1:10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 ht="15.75" customHeight="1" spans="1:10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 ht="15.75" customHeight="1" spans="1:10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 ht="15.75" customHeight="1" spans="1:10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 ht="15.75" customHeight="1" spans="1:10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 ht="15.75" customHeight="1" spans="1:10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 ht="15.75" customHeight="1" spans="1:10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 ht="15.75" customHeight="1" spans="1:10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 ht="15.75" customHeight="1" spans="1:10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 ht="15.75" customHeight="1" spans="1:10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 ht="15.75" customHeight="1" spans="1:10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 ht="15.75" customHeight="1" spans="1:10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 ht="15.75" customHeight="1" spans="1:10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 ht="15.75" customHeight="1" spans="1:10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 ht="15.75" customHeight="1" spans="1:10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 ht="15.75" customHeight="1" spans="1:10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 ht="15.75" customHeight="1" spans="1:10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 ht="15.75" customHeight="1" spans="1:10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 ht="15.75" customHeight="1" spans="1:10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 ht="15.75" customHeight="1" spans="1:10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 ht="15.75" customHeight="1" spans="1:10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 ht="15.75" customHeight="1" spans="1:10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 ht="15.75" customHeight="1" spans="1:10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 ht="15.75" customHeight="1" spans="1:10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 ht="15.75" customHeight="1" spans="1:10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 ht="15.75" customHeight="1" spans="1:10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conditionalFormatting sqref="H2:H500">
    <cfRule type="cellIs" dxfId="0" priority="1" operator="equal">
      <formula>"UNMAPPED"</formula>
    </cfRule>
  </conditionalFormatting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PL</vt:lpstr>
      <vt:lpstr>BS</vt:lpstr>
      <vt:lpstr>CF</vt:lpstr>
      <vt:lpstr>Assumptions</vt:lpstr>
      <vt:lpstr>Forecast</vt:lpstr>
      <vt:lpstr>DCF</vt:lpstr>
      <vt:lpstr>Checks</vt:lpstr>
      <vt:lpstr>Practice_Log</vt:lpstr>
      <vt:lpstr>README</vt:lpstr>
      <vt:lpstr>Accounts</vt:lpstr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SOWJANYA KANDARPA</cp:lastModifiedBy>
  <dcterms:created xsi:type="dcterms:W3CDTF">2026-10-10T22:11:41Z</dcterms:created>
  <dcterms:modified xsi:type="dcterms:W3CDTF">2026-10-10T22:11:52Z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